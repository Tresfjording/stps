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saveExternalLinkValues="0"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ØyvindGranberg\Projects\stps\"/>
    </mc:Choice>
  </mc:AlternateContent>
  <xr:revisionPtr revIDLastSave="0" documentId="13_ncr:1_{A4BFFB49-8ACF-4D9C-87D9-939B05DAC78E}" xr6:coauthVersionLast="47" xr6:coauthVersionMax="47" xr10:uidLastSave="{00000000-0000-0000-0000-000000000000}"/>
  <bookViews>
    <workbookView xWindow="-120" yWindow="-120" windowWidth="29040" windowHeight="16440" tabRatio="775" firstSheet="1" activeTab="1" xr2:uid="{00000000-000D-0000-FFFF-FFFF00000000}"/>
  </bookViews>
  <sheets>
    <sheet name="Heder &amp; Ære" sheetId="77" state="hidden" r:id="rId1"/>
    <sheet name="Hovedtabell" sheetId="79" r:id="rId2"/>
    <sheet name="Analyse" sheetId="76" state="hidden" r:id="rId3"/>
    <sheet name="Statistikk" sheetId="45" state="hidden" r:id="rId4"/>
    <sheet name="Hjelpeark" sheetId="56" state="hidden" r:id="rId5"/>
    <sheet name="Historikk" sheetId="75" state="hidden" r:id="rId6"/>
  </sheets>
  <definedNames>
    <definedName name="_200402" localSheetId="0">#REF!</definedName>
    <definedName name="_200402">#REF!</definedName>
    <definedName name="_xlnm._FilterDatabase" localSheetId="4" hidden="1">Hjelpeark!$O$1:$P$42</definedName>
    <definedName name="All_Time_High" localSheetId="0">#REF!</definedName>
    <definedName name="All_Time_High">#REF!</definedName>
    <definedName name="Alle_Poeng_Alf" localSheetId="0">#REF!</definedName>
    <definedName name="Alle_Poeng_Alf">#REF!</definedName>
    <definedName name="Alle_Poeng_Endre" localSheetId="0">#REF!</definedName>
    <definedName name="Alle_Poeng_Endre">#REF!</definedName>
    <definedName name="Alle_Poeng_Gjest">#REF!</definedName>
    <definedName name="Alle_Poeng_KarlArne">#REF!</definedName>
    <definedName name="Alle_Poeng_Lars">#REF!</definedName>
    <definedName name="Alle_Poeng_Rune">#REF!</definedName>
    <definedName name="Alle_Poeng_Utgang">#REF!</definedName>
    <definedName name="Alle_Poeng_Øyvind">#REF!</definedName>
    <definedName name="Alle_Siste_Ukes_Poeng">#REF!</definedName>
    <definedName name="alltimehigh" localSheetId="0">#REF!</definedName>
    <definedName name="alltimehigh">#REF!</definedName>
    <definedName name="alltimelow" localSheetId="0">#REF!</definedName>
    <definedName name="alltimelow">#REF!</definedName>
    <definedName name="AntallPremierElveRette" localSheetId="0">#REF!</definedName>
    <definedName name="AntallPremierElveRette">#REF!</definedName>
    <definedName name="AntallPremierTiREtte" localSheetId="0">#REF!</definedName>
    <definedName name="AntallPremierTiREtte">#REF!</definedName>
    <definedName name="ar_1" localSheetId="0">#REF!</definedName>
    <definedName name="ar_1">#REF!</definedName>
    <definedName name="ar_2" localSheetId="0">#REF!</definedName>
    <definedName name="ar_2">#REF!</definedName>
    <definedName name="ar_3" localSheetId="0">#REF!</definedName>
    <definedName name="ar_3">#REF!</definedName>
    <definedName name="ar_4" localSheetId="0">#REF!</definedName>
    <definedName name="ar_4">#REF!</definedName>
    <definedName name="ar_5" localSheetId="0">#REF!</definedName>
    <definedName name="ar_5">#REF!</definedName>
    <definedName name="ar_6" localSheetId="0">#REF!</definedName>
    <definedName name="ar_6">#REF!</definedName>
    <definedName name="ar_7" localSheetId="0">#REF!</definedName>
    <definedName name="ar_7">#REF!</definedName>
    <definedName name="ath">#REF!</definedName>
    <definedName name="atl">#REF!</definedName>
    <definedName name="attera" localSheetId="0">#REF!</definedName>
    <definedName name="attera">#REF!</definedName>
    <definedName name="b_ahh">#REF!</definedName>
    <definedName name="b_eb">#REF!</definedName>
    <definedName name="b_jh">#REF!</definedName>
    <definedName name="b_kaf">#REF!</definedName>
    <definedName name="b_rb">#REF!</definedName>
    <definedName name="b_toh">#REF!</definedName>
    <definedName name="b_øg">#REF!</definedName>
    <definedName name="bilde" localSheetId="2">INDIRECT(#REF!)</definedName>
    <definedName name="bilde" localSheetId="0">INDIRECT(#REF!)</definedName>
    <definedName name="bilde">INDIRECT(#REF!)</definedName>
    <definedName name="bt">#REF!</definedName>
    <definedName name="ccc" localSheetId="0">#REF!</definedName>
    <definedName name="ccc">#REF!</definedName>
    <definedName name="cl" localSheetId="0">#REF!</definedName>
    <definedName name="cl">#REF!</definedName>
    <definedName name="clo" localSheetId="0">#REF!</definedName>
    <definedName name="clo">#REF!</definedName>
    <definedName name="clt">#REF!</definedName>
    <definedName name="elvera" localSheetId="0">#REF!</definedName>
    <definedName name="elvera">#REF!</definedName>
    <definedName name="enera" localSheetId="0">#REF!</definedName>
    <definedName name="enera">#REF!</definedName>
    <definedName name="femera" localSheetId="0">#REF!</definedName>
    <definedName name="femera">#REF!</definedName>
    <definedName name="firera" localSheetId="0">#REF!</definedName>
    <definedName name="firera">#REF!</definedName>
    <definedName name="Halvgardering" localSheetId="0">#REF!</definedName>
    <definedName name="Halvgardering">#REF!</definedName>
    <definedName name="Hovedtabell">Hovedtabell!#REF!</definedName>
    <definedName name="ht">#REF!</definedName>
    <definedName name="Mulige" localSheetId="0">#REF!</definedName>
    <definedName name="Mulige">#REF!</definedName>
    <definedName name="niera" localSheetId="0">#REF!</definedName>
    <definedName name="niera">#REF!</definedName>
    <definedName name="Område" localSheetId="0">#REF!</definedName>
    <definedName name="Område">#REF!</definedName>
    <definedName name="pl" localSheetId="0">#REF!</definedName>
    <definedName name="pl">#REF!</definedName>
    <definedName name="poeng_1" localSheetId="0">#REF!</definedName>
    <definedName name="poeng_1">#REF!</definedName>
    <definedName name="poeng_2" localSheetId="0">#REF!</definedName>
    <definedName name="poeng_2">#REF!</definedName>
    <definedName name="poeng_3" localSheetId="0">#REF!</definedName>
    <definedName name="poeng_3">#REF!</definedName>
    <definedName name="poeng_4" localSheetId="0">#REF!</definedName>
    <definedName name="poeng_4">#REF!</definedName>
    <definedName name="poeng_5" localSheetId="0">#REF!</definedName>
    <definedName name="poeng_5">#REF!</definedName>
    <definedName name="poeng_6" localSheetId="0">#REF!</definedName>
    <definedName name="poeng_6">#REF!</definedName>
    <definedName name="poeng_7" localSheetId="0">#REF!</definedName>
    <definedName name="poeng_7">#REF!</definedName>
    <definedName name="Poeng_Alf" localSheetId="0">#REF!</definedName>
    <definedName name="Poeng_Alf">#REF!</definedName>
    <definedName name="Poeng_Endre" localSheetId="0">#REF!</definedName>
    <definedName name="Poeng_Endre">#REF!</definedName>
    <definedName name="Poeng_Gjest" localSheetId="0">#REF!</definedName>
    <definedName name="Poeng_Gjest">#REF!</definedName>
    <definedName name="Poeng_KarlArne">#REF!</definedName>
    <definedName name="Poeng_Lars">#REF!</definedName>
    <definedName name="Poeng_Rune">#REF!</definedName>
    <definedName name="Poeng_Søndag">#REF!</definedName>
    <definedName name="Poeng_Utgang">#REF!</definedName>
    <definedName name="Poeng_Øyvind">#REF!</definedName>
    <definedName name="pspr" localSheetId="2">#REF!</definedName>
    <definedName name="pspr">#REF!</definedName>
    <definedName name="rekkesnitt" localSheetId="0">#REF!</definedName>
    <definedName name="rekkesnitt">#REF!</definedName>
    <definedName name="sammendraget" localSheetId="0">#REF!</definedName>
    <definedName name="sammendraget">#REF!</definedName>
    <definedName name="seksera" localSheetId="0">#REF!</definedName>
    <definedName name="seksera">#REF!</definedName>
    <definedName name="Sikre" localSheetId="0">#REF!</definedName>
    <definedName name="Sikre">#REF!</definedName>
    <definedName name="sjuera" localSheetId="0">#REF!</definedName>
    <definedName name="sjuera">#REF!</definedName>
    <definedName name="tiera" localSheetId="0">#REF!</definedName>
    <definedName name="tiera">#REF!</definedName>
    <definedName name="TippeCupen" localSheetId="0">#REF!</definedName>
    <definedName name="TippeCupen">#REF!</definedName>
    <definedName name="tl" localSheetId="0">#REF!</definedName>
    <definedName name="tl">#REF!</definedName>
    <definedName name="toera" localSheetId="0">#REF!</definedName>
    <definedName name="toera">#REF!</definedName>
    <definedName name="tolvera" localSheetId="0">#REF!</definedName>
    <definedName name="tolvera">#REF!</definedName>
    <definedName name="Totale_rette" localSheetId="0">#REF!</definedName>
    <definedName name="Totale_rette">#REF!</definedName>
    <definedName name="Totalt" localSheetId="0">#REF!</definedName>
    <definedName name="Totalt">#REF!</definedName>
    <definedName name="treera" localSheetId="0">#REF!</definedName>
    <definedName name="treera">#REF!</definedName>
    <definedName name="treffprosent" localSheetId="0">#REF!</definedName>
    <definedName name="treffprosent">#REF!</definedName>
    <definedName name="ts">#REF!</definedName>
    <definedName name="uj">#REF!</definedName>
    <definedName name="UkasVinner" localSheetId="0">#REF!</definedName>
    <definedName name="UkasVinner">#REF!</definedName>
    <definedName name="ukestapere" localSheetId="0">#REF!</definedName>
    <definedName name="ukestapere">#REF!</definedName>
    <definedName name="Uketapere" localSheetId="2">Statistikk!$AL$2:$AU$42</definedName>
    <definedName name="Uketapere">Statistikk!$AL$2:$AU$42</definedName>
    <definedName name="ukevinnere" localSheetId="2">#REF!</definedName>
    <definedName name="ukevinnere" localSheetId="0">#REF!</definedName>
    <definedName name="Ukevinnere">Statistikk!$AA$2:$AJ$42</definedName>
    <definedName name="ukevinneretabell" localSheetId="0">#REF!</definedName>
    <definedName name="ukevinneretabell">#REF!</definedName>
    <definedName name="us">#REF!</definedName>
    <definedName name="ut">#REF!</definedName>
    <definedName name="Utgangstips" localSheetId="0">#REF!</definedName>
    <definedName name="Utgangstips">#REF!</definedName>
    <definedName name="viktigere">#REF!</definedName>
    <definedName name="viktigst">#REF!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8" i="75" l="1"/>
  <c r="Q38" i="75"/>
  <c r="R37" i="75"/>
  <c r="Q37" i="75"/>
  <c r="R36" i="75"/>
  <c r="Q36" i="75"/>
  <c r="R35" i="75"/>
  <c r="Q35" i="75"/>
  <c r="R34" i="75"/>
  <c r="Q34" i="75"/>
  <c r="R33" i="75"/>
  <c r="Q33" i="75"/>
  <c r="R32" i="75"/>
  <c r="Q32" i="75"/>
  <c r="R31" i="75"/>
  <c r="Q31" i="75"/>
  <c r="R30" i="75"/>
  <c r="Q30" i="75"/>
  <c r="U29" i="75"/>
  <c r="R29" i="75"/>
  <c r="Q29" i="75"/>
  <c r="U28" i="75"/>
  <c r="R28" i="75"/>
  <c r="Q28" i="75"/>
  <c r="U27" i="75"/>
  <c r="R27" i="75"/>
  <c r="Q27" i="75"/>
  <c r="U26" i="75"/>
  <c r="R26" i="75"/>
  <c r="Q26" i="75"/>
  <c r="U25" i="75"/>
  <c r="R25" i="75"/>
  <c r="Q25" i="75"/>
  <c r="U24" i="75"/>
  <c r="R24" i="75"/>
  <c r="Q24" i="75"/>
  <c r="W23" i="75" a="1"/>
  <c r="U23" i="75"/>
  <c r="R23" i="75"/>
  <c r="Q23" i="75"/>
  <c r="AT19" i="75"/>
  <c r="AQ19" i="75"/>
  <c r="AL19" i="75"/>
  <c r="AK19" i="75"/>
  <c r="AG19" i="75"/>
  <c r="AF19" i="75"/>
  <c r="AE19" i="75"/>
  <c r="AD19" i="75"/>
  <c r="AC19" i="75"/>
  <c r="AB19" i="75"/>
  <c r="AA19" i="75"/>
  <c r="Z19" i="75"/>
  <c r="Y19" i="75"/>
  <c r="X19" i="75"/>
  <c r="W19" i="75"/>
  <c r="V19" i="75"/>
  <c r="U19" i="75"/>
  <c r="T19" i="75"/>
  <c r="S19" i="75"/>
  <c r="R19" i="75"/>
  <c r="AT18" i="75"/>
  <c r="AQ18" i="75"/>
  <c r="AL18" i="75"/>
  <c r="AK18" i="75"/>
  <c r="AG18" i="75"/>
  <c r="AF18" i="75"/>
  <c r="AE18" i="75"/>
  <c r="AD18" i="75"/>
  <c r="AC18" i="75"/>
  <c r="AB18" i="75"/>
  <c r="AA18" i="75"/>
  <c r="Z18" i="75"/>
  <c r="Y18" i="75"/>
  <c r="X18" i="75"/>
  <c r="W18" i="75"/>
  <c r="V18" i="75"/>
  <c r="U18" i="75"/>
  <c r="T18" i="75"/>
  <c r="S18" i="75"/>
  <c r="R18" i="75"/>
  <c r="AT17" i="75"/>
  <c r="AQ17" i="75"/>
  <c r="AL17" i="75"/>
  <c r="AK17" i="75"/>
  <c r="AG17" i="75"/>
  <c r="AF17" i="75"/>
  <c r="AE17" i="75"/>
  <c r="AD17" i="75"/>
  <c r="AC17" i="75"/>
  <c r="AB17" i="75"/>
  <c r="AA17" i="75"/>
  <c r="Z17" i="75"/>
  <c r="Y17" i="75"/>
  <c r="X17" i="75"/>
  <c r="W17" i="75"/>
  <c r="V17" i="75"/>
  <c r="U17" i="75"/>
  <c r="T17" i="75"/>
  <c r="S17" i="75"/>
  <c r="R17" i="75"/>
  <c r="AT16" i="75"/>
  <c r="AQ16" i="75"/>
  <c r="AL16" i="75"/>
  <c r="AK16" i="75"/>
  <c r="AG16" i="75"/>
  <c r="AF16" i="75"/>
  <c r="AE16" i="75"/>
  <c r="AD16" i="75"/>
  <c r="AC16" i="75"/>
  <c r="AB16" i="75"/>
  <c r="AA16" i="75"/>
  <c r="Z16" i="75"/>
  <c r="Y16" i="75"/>
  <c r="X16" i="75"/>
  <c r="W16" i="75"/>
  <c r="V16" i="75"/>
  <c r="U16" i="75"/>
  <c r="T16" i="75"/>
  <c r="S16" i="75"/>
  <c r="R16" i="75"/>
  <c r="AX15" i="75"/>
  <c r="AW15" i="75"/>
  <c r="AV15" i="75"/>
  <c r="AT15" i="75"/>
  <c r="AQ15" i="75"/>
  <c r="AL15" i="75"/>
  <c r="AK15" i="75"/>
  <c r="AG15" i="75"/>
  <c r="AF15" i="75"/>
  <c r="AE15" i="75"/>
  <c r="AD15" i="75"/>
  <c r="AC15" i="75"/>
  <c r="AB15" i="75"/>
  <c r="AA15" i="75"/>
  <c r="Z15" i="75"/>
  <c r="Y15" i="75"/>
  <c r="X15" i="75"/>
  <c r="W15" i="75"/>
  <c r="V15" i="75"/>
  <c r="U15" i="75"/>
  <c r="T15" i="75"/>
  <c r="S15" i="75"/>
  <c r="R15" i="75"/>
  <c r="AX14" i="75"/>
  <c r="AW14" i="75"/>
  <c r="AV14" i="75"/>
  <c r="AT14" i="75"/>
  <c r="AQ14" i="75"/>
  <c r="AL14" i="75"/>
  <c r="AK14" i="75"/>
  <c r="AG14" i="75"/>
  <c r="AF14" i="75"/>
  <c r="AE14" i="75"/>
  <c r="AD14" i="75"/>
  <c r="AC14" i="75"/>
  <c r="AB14" i="75"/>
  <c r="AA14" i="75"/>
  <c r="Z14" i="75"/>
  <c r="Y14" i="75"/>
  <c r="X14" i="75"/>
  <c r="W14" i="75"/>
  <c r="V14" i="75"/>
  <c r="U14" i="75"/>
  <c r="T14" i="75"/>
  <c r="S14" i="75"/>
  <c r="R14" i="75"/>
  <c r="AX13" i="75"/>
  <c r="AW13" i="75"/>
  <c r="AV13" i="75"/>
  <c r="AT13" i="75"/>
  <c r="AO13" i="75" a="1"/>
  <c r="AL13" i="75"/>
  <c r="AK13" i="75"/>
  <c r="AG13" i="75"/>
  <c r="AF13" i="75"/>
  <c r="AE13" i="75"/>
  <c r="AD13" i="75"/>
  <c r="AC13" i="75"/>
  <c r="AB13" i="75"/>
  <c r="AA13" i="75"/>
  <c r="Z13" i="75"/>
  <c r="Y13" i="75"/>
  <c r="X13" i="75"/>
  <c r="W13" i="75"/>
  <c r="V13" i="75"/>
  <c r="U13" i="75"/>
  <c r="T13" i="75"/>
  <c r="S13" i="75"/>
  <c r="R13" i="75"/>
  <c r="C3" i="75"/>
  <c r="H157" i="56"/>
  <c r="J157" i="56" s="1"/>
  <c r="H156" i="56"/>
  <c r="J156" i="56" s="1"/>
  <c r="H155" i="56"/>
  <c r="J155" i="56" s="1"/>
  <c r="H154" i="56"/>
  <c r="J154" i="56" s="1"/>
  <c r="H153" i="56"/>
  <c r="J153" i="56" s="1"/>
  <c r="H152" i="56"/>
  <c r="J152" i="56" s="1"/>
  <c r="H151" i="56"/>
  <c r="J151" i="56" s="1"/>
  <c r="H150" i="56"/>
  <c r="J150" i="56" s="1"/>
  <c r="H149" i="56"/>
  <c r="J149" i="56" s="1"/>
  <c r="H148" i="56"/>
  <c r="J148" i="56" s="1"/>
  <c r="H147" i="56"/>
  <c r="J147" i="56" s="1"/>
  <c r="H146" i="56"/>
  <c r="J146" i="56" s="1"/>
  <c r="H145" i="56"/>
  <c r="J145" i="56" s="1"/>
  <c r="H144" i="56"/>
  <c r="J144" i="56" s="1"/>
  <c r="H143" i="56"/>
  <c r="J143" i="56" s="1"/>
  <c r="H142" i="56"/>
  <c r="J142" i="56" s="1"/>
  <c r="H141" i="56"/>
  <c r="J141" i="56" s="1"/>
  <c r="H140" i="56"/>
  <c r="J140" i="56" s="1"/>
  <c r="H139" i="56"/>
  <c r="J139" i="56" s="1"/>
  <c r="H138" i="56"/>
  <c r="J138" i="56" s="1"/>
  <c r="H137" i="56"/>
  <c r="J137" i="56" s="1"/>
  <c r="H136" i="56"/>
  <c r="J136" i="56" s="1"/>
  <c r="H135" i="56"/>
  <c r="J135" i="56" s="1"/>
  <c r="H134" i="56"/>
  <c r="J134" i="56" s="1"/>
  <c r="H133" i="56"/>
  <c r="J133" i="56" s="1"/>
  <c r="H132" i="56"/>
  <c r="J132" i="56" s="1"/>
  <c r="H131" i="56"/>
  <c r="J131" i="56" s="1"/>
  <c r="H130" i="56"/>
  <c r="J130" i="56" s="1"/>
  <c r="H129" i="56"/>
  <c r="J129" i="56" s="1"/>
  <c r="H128" i="56"/>
  <c r="J128" i="56" s="1"/>
  <c r="H127" i="56"/>
  <c r="J127" i="56" s="1"/>
  <c r="H126" i="56"/>
  <c r="J126" i="56" s="1"/>
  <c r="H125" i="56"/>
  <c r="J125" i="56" s="1"/>
  <c r="H124" i="56"/>
  <c r="J124" i="56" s="1"/>
  <c r="H123" i="56"/>
  <c r="J123" i="56" s="1"/>
  <c r="H122" i="56"/>
  <c r="J122" i="56" s="1"/>
  <c r="H121" i="56"/>
  <c r="J121" i="56" s="1"/>
  <c r="H120" i="56"/>
  <c r="J120" i="56" s="1"/>
  <c r="H119" i="56"/>
  <c r="J119" i="56" s="1"/>
  <c r="H118" i="56"/>
  <c r="J118" i="56" s="1"/>
  <c r="H117" i="56"/>
  <c r="J117" i="56" s="1"/>
  <c r="H116" i="56"/>
  <c r="J116" i="56" s="1"/>
  <c r="H115" i="56"/>
  <c r="J115" i="56" s="1"/>
  <c r="H114" i="56"/>
  <c r="J114" i="56" s="1"/>
  <c r="H113" i="56"/>
  <c r="J113" i="56" s="1"/>
  <c r="H112" i="56"/>
  <c r="J112" i="56" s="1"/>
  <c r="H111" i="56"/>
  <c r="J111" i="56" s="1"/>
  <c r="H110" i="56"/>
  <c r="J110" i="56" s="1"/>
  <c r="H109" i="56"/>
  <c r="J109" i="56" s="1"/>
  <c r="H108" i="56"/>
  <c r="J108" i="56" s="1"/>
  <c r="H107" i="56"/>
  <c r="J107" i="56" s="1"/>
  <c r="H106" i="56"/>
  <c r="J106" i="56" s="1"/>
  <c r="H105" i="56"/>
  <c r="J105" i="56" s="1"/>
  <c r="H104" i="56"/>
  <c r="J104" i="56" s="1"/>
  <c r="H103" i="56"/>
  <c r="J103" i="56" s="1"/>
  <c r="H102" i="56"/>
  <c r="J102" i="56" s="1"/>
  <c r="H101" i="56"/>
  <c r="J101" i="56" s="1"/>
  <c r="H100" i="56"/>
  <c r="J100" i="56" s="1"/>
  <c r="H99" i="56"/>
  <c r="J99" i="56" s="1"/>
  <c r="H98" i="56"/>
  <c r="J98" i="56" s="1"/>
  <c r="H97" i="56"/>
  <c r="J97" i="56" s="1"/>
  <c r="H96" i="56"/>
  <c r="J96" i="56" s="1"/>
  <c r="H95" i="56"/>
  <c r="J95" i="56" s="1"/>
  <c r="H94" i="56"/>
  <c r="J94" i="56" s="1"/>
  <c r="H93" i="56"/>
  <c r="J93" i="56" s="1"/>
  <c r="H92" i="56"/>
  <c r="J92" i="56" s="1"/>
  <c r="H91" i="56"/>
  <c r="J91" i="56" s="1"/>
  <c r="H90" i="56"/>
  <c r="J90" i="56" s="1"/>
  <c r="H89" i="56"/>
  <c r="J89" i="56" s="1"/>
  <c r="H88" i="56"/>
  <c r="J88" i="56" s="1"/>
  <c r="H87" i="56"/>
  <c r="J87" i="56" s="1"/>
  <c r="H86" i="56"/>
  <c r="J86" i="56" s="1"/>
  <c r="H85" i="56"/>
  <c r="J85" i="56" s="1"/>
  <c r="H84" i="56"/>
  <c r="J84" i="56" s="1"/>
  <c r="H83" i="56"/>
  <c r="J83" i="56" s="1"/>
  <c r="H82" i="56"/>
  <c r="J82" i="56" s="1"/>
  <c r="H81" i="56"/>
  <c r="J81" i="56" s="1"/>
  <c r="H80" i="56"/>
  <c r="J80" i="56" s="1"/>
  <c r="H79" i="56"/>
  <c r="J79" i="56" s="1"/>
  <c r="H78" i="56"/>
  <c r="J78" i="56" s="1"/>
  <c r="H77" i="56"/>
  <c r="J77" i="56" s="1"/>
  <c r="H76" i="56"/>
  <c r="J76" i="56" s="1"/>
  <c r="H75" i="56"/>
  <c r="J75" i="56" s="1"/>
  <c r="H74" i="56"/>
  <c r="J74" i="56" s="1"/>
  <c r="H73" i="56"/>
  <c r="J73" i="56" s="1"/>
  <c r="H72" i="56"/>
  <c r="J72" i="56" s="1"/>
  <c r="H71" i="56"/>
  <c r="J71" i="56" s="1"/>
  <c r="H70" i="56"/>
  <c r="J70" i="56" s="1"/>
  <c r="H69" i="56"/>
  <c r="J69" i="56" s="1"/>
  <c r="H68" i="56"/>
  <c r="J68" i="56" s="1"/>
  <c r="H67" i="56"/>
  <c r="J67" i="56" s="1"/>
  <c r="H66" i="56"/>
  <c r="J66" i="56" s="1"/>
  <c r="H65" i="56"/>
  <c r="J65" i="56" s="1"/>
  <c r="H64" i="56"/>
  <c r="J64" i="56" s="1"/>
  <c r="H63" i="56"/>
  <c r="J63" i="56" s="1"/>
  <c r="H62" i="56"/>
  <c r="J62" i="56" s="1"/>
  <c r="H61" i="56"/>
  <c r="J61" i="56" s="1"/>
  <c r="H60" i="56"/>
  <c r="J60" i="56" s="1"/>
  <c r="H59" i="56"/>
  <c r="J59" i="56" s="1"/>
  <c r="H58" i="56"/>
  <c r="J58" i="56" s="1"/>
  <c r="H57" i="56"/>
  <c r="J57" i="56" s="1"/>
  <c r="H56" i="56"/>
  <c r="J56" i="56" s="1"/>
  <c r="H55" i="56"/>
  <c r="J55" i="56" s="1"/>
  <c r="H54" i="56"/>
  <c r="J54" i="56" s="1"/>
  <c r="H53" i="56"/>
  <c r="J53" i="56" s="1"/>
  <c r="H52" i="56"/>
  <c r="J52" i="56" s="1"/>
  <c r="H51" i="56"/>
  <c r="J51" i="56" s="1"/>
  <c r="H50" i="56"/>
  <c r="J50" i="56" s="1"/>
  <c r="H49" i="56"/>
  <c r="J49" i="56" s="1"/>
  <c r="H48" i="56"/>
  <c r="J48" i="56" s="1"/>
  <c r="H47" i="56"/>
  <c r="J47" i="56" s="1"/>
  <c r="H46" i="56"/>
  <c r="J46" i="56" s="1"/>
  <c r="H45" i="56"/>
  <c r="J45" i="56" s="1"/>
  <c r="H44" i="56"/>
  <c r="J44" i="56" s="1"/>
  <c r="H43" i="56"/>
  <c r="J43" i="56" s="1"/>
  <c r="L2" i="56"/>
  <c r="L3" i="56" s="1"/>
  <c r="L4" i="56" s="1"/>
  <c r="L5" i="56" s="1"/>
  <c r="L6" i="56" s="1"/>
  <c r="L7" i="56" s="1"/>
  <c r="L8" i="56" s="1"/>
  <c r="L9" i="56" s="1"/>
  <c r="L10" i="56" s="1"/>
  <c r="L11" i="56" s="1"/>
  <c r="L12" i="56" s="1"/>
  <c r="L13" i="56" s="1"/>
  <c r="L14" i="56" s="1"/>
  <c r="L15" i="56" s="1"/>
  <c r="L16" i="56" s="1"/>
  <c r="L17" i="56" s="1"/>
  <c r="L18" i="56" s="1"/>
  <c r="L19" i="56" s="1"/>
  <c r="L20" i="56" s="1"/>
  <c r="L21" i="56" s="1"/>
  <c r="L22" i="56" s="1"/>
  <c r="L23" i="56" s="1"/>
  <c r="L24" i="56" s="1"/>
  <c r="L25" i="56" s="1"/>
  <c r="L26" i="56" s="1"/>
  <c r="L27" i="56" s="1"/>
  <c r="L28" i="56" s="1"/>
  <c r="L29" i="56" s="1"/>
  <c r="L30" i="56" s="1"/>
  <c r="L31" i="56" s="1"/>
  <c r="L32" i="56" s="1"/>
  <c r="L33" i="56" s="1"/>
  <c r="L34" i="56" s="1"/>
  <c r="L35" i="56" s="1"/>
  <c r="L36" i="56" s="1"/>
  <c r="L37" i="56" s="1"/>
  <c r="L38" i="56" s="1"/>
  <c r="L39" i="56" s="1"/>
  <c r="L40" i="56" s="1"/>
  <c r="L41" i="56" s="1"/>
  <c r="L42" i="56" s="1"/>
  <c r="A2" i="56"/>
  <c r="P2" i="45"/>
  <c r="AA2" i="45" s="1"/>
  <c r="AL2" i="45" s="1"/>
  <c r="B2" i="45"/>
  <c r="I18" i="76"/>
  <c r="D18" i="76"/>
  <c r="CC13" i="76"/>
  <c r="CB13" i="76"/>
  <c r="CD13" i="76" s="1"/>
  <c r="AO28" i="76" s="1"/>
  <c r="BZ13" i="76"/>
  <c r="BY13" i="76"/>
  <c r="CA13" i="76" s="1"/>
  <c r="AN28" i="76" s="1"/>
  <c r="BV13" i="76"/>
  <c r="BS13" i="76"/>
  <c r="BR13" i="76"/>
  <c r="BT13" i="76" s="1"/>
  <c r="AJ28" i="76" s="1"/>
  <c r="BP13" i="76"/>
  <c r="BO13" i="76"/>
  <c r="BQ13" i="76" s="1"/>
  <c r="AI28" i="76" s="1"/>
  <c r="BL13" i="76"/>
  <c r="BI13" i="76"/>
  <c r="BH13" i="76"/>
  <c r="BJ13" i="76" s="1"/>
  <c r="BF13" i="76"/>
  <c r="BE13" i="76"/>
  <c r="BG13" i="76" s="1"/>
  <c r="BB13" i="76"/>
  <c r="AY13" i="76"/>
  <c r="AX13" i="76"/>
  <c r="AZ13" i="76" s="1"/>
  <c r="Z28" i="76" s="1"/>
  <c r="AV13" i="76"/>
  <c r="AU13" i="76"/>
  <c r="AW13" i="76" s="1"/>
  <c r="Y28" i="76" s="1"/>
  <c r="AR13" i="76"/>
  <c r="AO13" i="76"/>
  <c r="AN13" i="76"/>
  <c r="AP13" i="76" s="1"/>
  <c r="U28" i="76" s="1"/>
  <c r="AL13" i="76"/>
  <c r="AM13" i="76" s="1"/>
  <c r="T28" i="76" s="1"/>
  <c r="AK13" i="76"/>
  <c r="AH13" i="76"/>
  <c r="AE13" i="76"/>
  <c r="AD13" i="76"/>
  <c r="AF13" i="76" s="1"/>
  <c r="P28" i="76" s="1"/>
  <c r="AB13" i="76"/>
  <c r="AA13" i="76"/>
  <c r="AC13" i="76" s="1"/>
  <c r="O28" i="76" s="1"/>
  <c r="X13" i="76"/>
  <c r="U13" i="76"/>
  <c r="T13" i="76"/>
  <c r="V13" i="76" s="1"/>
  <c r="K28" i="76" s="1"/>
  <c r="R13" i="76"/>
  <c r="Q13" i="76"/>
  <c r="S13" i="76" s="1"/>
  <c r="J28" i="76" s="1"/>
  <c r="N13" i="76"/>
  <c r="K13" i="76"/>
  <c r="F57" i="76" s="1"/>
  <c r="J13" i="76"/>
  <c r="H13" i="76"/>
  <c r="E57" i="76" s="1"/>
  <c r="G13" i="76"/>
  <c r="D13" i="76"/>
  <c r="G57" i="76" s="1"/>
  <c r="CC12" i="76"/>
  <c r="CB12" i="76"/>
  <c r="CD12" i="76" s="1"/>
  <c r="AO27" i="76" s="1"/>
  <c r="BZ12" i="76"/>
  <c r="BY12" i="76"/>
  <c r="CA12" i="76" s="1"/>
  <c r="AN27" i="76" s="1"/>
  <c r="BV12" i="76"/>
  <c r="BS12" i="76"/>
  <c r="BR12" i="76"/>
  <c r="BT12" i="76" s="1"/>
  <c r="AJ27" i="76" s="1"/>
  <c r="BP12" i="76"/>
  <c r="BO12" i="76"/>
  <c r="BQ12" i="76" s="1"/>
  <c r="AI27" i="76" s="1"/>
  <c r="BL12" i="76"/>
  <c r="BI12" i="76"/>
  <c r="BH12" i="76"/>
  <c r="BJ12" i="76" s="1"/>
  <c r="BF12" i="76"/>
  <c r="BE12" i="76"/>
  <c r="BG12" i="76" s="1"/>
  <c r="BB12" i="76"/>
  <c r="AY12" i="76"/>
  <c r="AX12" i="76"/>
  <c r="AZ12" i="76" s="1"/>
  <c r="Z27" i="76" s="1"/>
  <c r="AV12" i="76"/>
  <c r="AU12" i="76"/>
  <c r="AW12" i="76" s="1"/>
  <c r="Y27" i="76" s="1"/>
  <c r="AR12" i="76"/>
  <c r="AO12" i="76"/>
  <c r="AN12" i="76"/>
  <c r="AP12" i="76" s="1"/>
  <c r="U27" i="76" s="1"/>
  <c r="AL12" i="76"/>
  <c r="AK12" i="76"/>
  <c r="AM12" i="76" s="1"/>
  <c r="T27" i="76" s="1"/>
  <c r="AH12" i="76"/>
  <c r="AE12" i="76"/>
  <c r="AD12" i="76"/>
  <c r="AF12" i="76" s="1"/>
  <c r="P27" i="76" s="1"/>
  <c r="AB12" i="76"/>
  <c r="AA12" i="76"/>
  <c r="AC12" i="76" s="1"/>
  <c r="O27" i="76" s="1"/>
  <c r="X12" i="76"/>
  <c r="U12" i="76"/>
  <c r="T12" i="76"/>
  <c r="V12" i="76" s="1"/>
  <c r="K27" i="76" s="1"/>
  <c r="R12" i="76"/>
  <c r="Q12" i="76"/>
  <c r="S12" i="76" s="1"/>
  <c r="J27" i="76" s="1"/>
  <c r="N12" i="76"/>
  <c r="K12" i="76"/>
  <c r="F56" i="76" s="1"/>
  <c r="J12" i="76"/>
  <c r="H12" i="76"/>
  <c r="E56" i="76" s="1"/>
  <c r="G12" i="76"/>
  <c r="D12" i="76"/>
  <c r="G56" i="76" s="1"/>
  <c r="CC11" i="76"/>
  <c r="CB11" i="76"/>
  <c r="CD11" i="76" s="1"/>
  <c r="AO26" i="76" s="1"/>
  <c r="BZ11" i="76"/>
  <c r="BY11" i="76"/>
  <c r="CA11" i="76" s="1"/>
  <c r="AN26" i="76" s="1"/>
  <c r="BV11" i="76"/>
  <c r="BS11" i="76"/>
  <c r="BR11" i="76"/>
  <c r="BT11" i="76" s="1"/>
  <c r="AJ26" i="76" s="1"/>
  <c r="BP11" i="76"/>
  <c r="BO11" i="76"/>
  <c r="BQ11" i="76" s="1"/>
  <c r="AI26" i="76" s="1"/>
  <c r="BL11" i="76"/>
  <c r="BI11" i="76"/>
  <c r="BH11" i="76"/>
  <c r="BJ11" i="76" s="1"/>
  <c r="BF11" i="76"/>
  <c r="BE11" i="76"/>
  <c r="BG11" i="76" s="1"/>
  <c r="BB11" i="76"/>
  <c r="AY11" i="76"/>
  <c r="AX11" i="76"/>
  <c r="AZ11" i="76" s="1"/>
  <c r="Z26" i="76" s="1"/>
  <c r="AV11" i="76"/>
  <c r="AU11" i="76"/>
  <c r="AW11" i="76" s="1"/>
  <c r="Y26" i="76" s="1"/>
  <c r="AR11" i="76"/>
  <c r="AO11" i="76"/>
  <c r="AN11" i="76"/>
  <c r="AP11" i="76" s="1"/>
  <c r="U26" i="76" s="1"/>
  <c r="AL11" i="76"/>
  <c r="AK11" i="76"/>
  <c r="AM11" i="76" s="1"/>
  <c r="T26" i="76" s="1"/>
  <c r="AH11" i="76"/>
  <c r="AE11" i="76"/>
  <c r="AD11" i="76"/>
  <c r="AF11" i="76" s="1"/>
  <c r="P26" i="76" s="1"/>
  <c r="AB11" i="76"/>
  <c r="AA11" i="76"/>
  <c r="AC11" i="76" s="1"/>
  <c r="O26" i="76" s="1"/>
  <c r="X11" i="76"/>
  <c r="U11" i="76"/>
  <c r="T11" i="76"/>
  <c r="V11" i="76" s="1"/>
  <c r="K26" i="76" s="1"/>
  <c r="R11" i="76"/>
  <c r="Q11" i="76"/>
  <c r="S11" i="76" s="1"/>
  <c r="J26" i="76" s="1"/>
  <c r="N11" i="76"/>
  <c r="K11" i="76"/>
  <c r="F55" i="76" s="1"/>
  <c r="J11" i="76"/>
  <c r="H11" i="76"/>
  <c r="E55" i="76" s="1"/>
  <c r="G11" i="76"/>
  <c r="D11" i="76"/>
  <c r="G55" i="76" s="1"/>
  <c r="CC10" i="76"/>
  <c r="CB10" i="76"/>
  <c r="CD10" i="76" s="1"/>
  <c r="AO25" i="76" s="1"/>
  <c r="BZ10" i="76"/>
  <c r="BY10" i="76"/>
  <c r="CA10" i="76" s="1"/>
  <c r="AN25" i="76" s="1"/>
  <c r="BV10" i="76"/>
  <c r="BS10" i="76"/>
  <c r="BR10" i="76"/>
  <c r="BT10" i="76" s="1"/>
  <c r="AJ25" i="76" s="1"/>
  <c r="BP10" i="76"/>
  <c r="BO10" i="76"/>
  <c r="BQ10" i="76" s="1"/>
  <c r="AI25" i="76" s="1"/>
  <c r="BL10" i="76"/>
  <c r="BI10" i="76"/>
  <c r="BH10" i="76"/>
  <c r="BJ10" i="76" s="1"/>
  <c r="BF10" i="76"/>
  <c r="BE10" i="76"/>
  <c r="BG10" i="76" s="1"/>
  <c r="BB10" i="76"/>
  <c r="AY10" i="76"/>
  <c r="AX10" i="76"/>
  <c r="AZ10" i="76" s="1"/>
  <c r="Z25" i="76" s="1"/>
  <c r="AV10" i="76"/>
  <c r="AU10" i="76"/>
  <c r="AW10" i="76" s="1"/>
  <c r="Y25" i="76" s="1"/>
  <c r="AR10" i="76"/>
  <c r="AO10" i="76"/>
  <c r="AN10" i="76"/>
  <c r="AP10" i="76" s="1"/>
  <c r="U25" i="76" s="1"/>
  <c r="AL10" i="76"/>
  <c r="AK10" i="76"/>
  <c r="AM10" i="76" s="1"/>
  <c r="T25" i="76" s="1"/>
  <c r="AH10" i="76"/>
  <c r="AE10" i="76"/>
  <c r="AD10" i="76"/>
  <c r="AF10" i="76" s="1"/>
  <c r="P25" i="76" s="1"/>
  <c r="AB10" i="76"/>
  <c r="AA10" i="76"/>
  <c r="AC10" i="76" s="1"/>
  <c r="O25" i="76" s="1"/>
  <c r="X10" i="76"/>
  <c r="U10" i="76"/>
  <c r="T10" i="76"/>
  <c r="V10" i="76" s="1"/>
  <c r="K25" i="76" s="1"/>
  <c r="R10" i="76"/>
  <c r="Q10" i="76"/>
  <c r="S10" i="76" s="1"/>
  <c r="J25" i="76" s="1"/>
  <c r="N10" i="76"/>
  <c r="K10" i="76"/>
  <c r="F54" i="76" s="1"/>
  <c r="J10" i="76"/>
  <c r="H10" i="76"/>
  <c r="E54" i="76" s="1"/>
  <c r="G10" i="76"/>
  <c r="D10" i="76"/>
  <c r="G54" i="76" s="1"/>
  <c r="CC9" i="76"/>
  <c r="CB9" i="76"/>
  <c r="CD9" i="76" s="1"/>
  <c r="AO24" i="76" s="1"/>
  <c r="BZ9" i="76"/>
  <c r="BY9" i="76"/>
  <c r="CA9" i="76" s="1"/>
  <c r="AN24" i="76" s="1"/>
  <c r="BV9" i="76"/>
  <c r="BS9" i="76"/>
  <c r="BR9" i="76"/>
  <c r="BT9" i="76" s="1"/>
  <c r="AJ24" i="76" s="1"/>
  <c r="BP9" i="76"/>
  <c r="BO9" i="76"/>
  <c r="BQ9" i="76" s="1"/>
  <c r="AI24" i="76" s="1"/>
  <c r="BL9" i="76"/>
  <c r="BI9" i="76"/>
  <c r="BH9" i="76"/>
  <c r="BJ9" i="76" s="1"/>
  <c r="BF9" i="76"/>
  <c r="BE9" i="76"/>
  <c r="BG9" i="76" s="1"/>
  <c r="BB9" i="76"/>
  <c r="AY9" i="76"/>
  <c r="AX9" i="76"/>
  <c r="AZ9" i="76" s="1"/>
  <c r="Z24" i="76" s="1"/>
  <c r="AV9" i="76"/>
  <c r="AU9" i="76"/>
  <c r="AW9" i="76" s="1"/>
  <c r="Y24" i="76" s="1"/>
  <c r="AR9" i="76"/>
  <c r="AO9" i="76"/>
  <c r="AN9" i="76"/>
  <c r="AP9" i="76" s="1"/>
  <c r="U24" i="76" s="1"/>
  <c r="AL9" i="76"/>
  <c r="AK9" i="76"/>
  <c r="AM9" i="76" s="1"/>
  <c r="T24" i="76" s="1"/>
  <c r="AH9" i="76"/>
  <c r="AE9" i="76"/>
  <c r="AD9" i="76"/>
  <c r="AF9" i="76" s="1"/>
  <c r="P24" i="76" s="1"/>
  <c r="AB9" i="76"/>
  <c r="AA9" i="76"/>
  <c r="AC9" i="76" s="1"/>
  <c r="O24" i="76" s="1"/>
  <c r="X9" i="76"/>
  <c r="U9" i="76"/>
  <c r="T9" i="76"/>
  <c r="V9" i="76" s="1"/>
  <c r="K24" i="76" s="1"/>
  <c r="R9" i="76"/>
  <c r="Q9" i="76"/>
  <c r="S9" i="76" s="1"/>
  <c r="J24" i="76" s="1"/>
  <c r="N9" i="76"/>
  <c r="K9" i="76"/>
  <c r="F53" i="76" s="1"/>
  <c r="J9" i="76"/>
  <c r="H9" i="76"/>
  <c r="E53" i="76" s="1"/>
  <c r="G9" i="76"/>
  <c r="D9" i="76"/>
  <c r="G53" i="76" s="1"/>
  <c r="CC8" i="76"/>
  <c r="CB8" i="76"/>
  <c r="CD8" i="76" s="1"/>
  <c r="AO23" i="76" s="1"/>
  <c r="BZ8" i="76"/>
  <c r="BY8" i="76"/>
  <c r="CA8" i="76" s="1"/>
  <c r="AN23" i="76" s="1"/>
  <c r="BV8" i="76"/>
  <c r="BS8" i="76"/>
  <c r="BR8" i="76"/>
  <c r="BT8" i="76" s="1"/>
  <c r="AJ23" i="76" s="1"/>
  <c r="BP8" i="76"/>
  <c r="BO8" i="76"/>
  <c r="BQ8" i="76" s="1"/>
  <c r="AI23" i="76" s="1"/>
  <c r="BL8" i="76"/>
  <c r="BI8" i="76"/>
  <c r="BH8" i="76"/>
  <c r="BJ8" i="76" s="1"/>
  <c r="BF8" i="76"/>
  <c r="BE8" i="76"/>
  <c r="BG8" i="76" s="1"/>
  <c r="BB8" i="76"/>
  <c r="AY8" i="76"/>
  <c r="AX8" i="76"/>
  <c r="AZ8" i="76" s="1"/>
  <c r="Z23" i="76" s="1"/>
  <c r="AV8" i="76"/>
  <c r="AU8" i="76"/>
  <c r="AW8" i="76" s="1"/>
  <c r="Y23" i="76" s="1"/>
  <c r="AR8" i="76"/>
  <c r="AO8" i="76"/>
  <c r="AN8" i="76"/>
  <c r="AP8" i="76" s="1"/>
  <c r="U23" i="76" s="1"/>
  <c r="AL8" i="76"/>
  <c r="AK8" i="76"/>
  <c r="AM8" i="76" s="1"/>
  <c r="T23" i="76" s="1"/>
  <c r="AH8" i="76"/>
  <c r="AE8" i="76"/>
  <c r="AD8" i="76"/>
  <c r="AF8" i="76" s="1"/>
  <c r="P23" i="76" s="1"/>
  <c r="AB8" i="76"/>
  <c r="AA8" i="76"/>
  <c r="AC8" i="76" s="1"/>
  <c r="O23" i="76" s="1"/>
  <c r="X8" i="76"/>
  <c r="U8" i="76"/>
  <c r="T8" i="76"/>
  <c r="V8" i="76" s="1"/>
  <c r="K23" i="76" s="1"/>
  <c r="R8" i="76"/>
  <c r="Q8" i="76"/>
  <c r="S8" i="76" s="1"/>
  <c r="J23" i="76" s="1"/>
  <c r="N8" i="76"/>
  <c r="K8" i="76"/>
  <c r="F52" i="76" s="1"/>
  <c r="J8" i="76"/>
  <c r="H8" i="76"/>
  <c r="E52" i="76" s="1"/>
  <c r="G8" i="76"/>
  <c r="D8" i="76"/>
  <c r="G52" i="76" s="1"/>
  <c r="CC7" i="76"/>
  <c r="CB7" i="76"/>
  <c r="CD7" i="76" s="1"/>
  <c r="AO22" i="76" s="1"/>
  <c r="BZ7" i="76"/>
  <c r="BY7" i="76"/>
  <c r="CA7" i="76" s="1"/>
  <c r="AN22" i="76" s="1"/>
  <c r="BV7" i="76"/>
  <c r="BS7" i="76"/>
  <c r="BR7" i="76"/>
  <c r="BT7" i="76" s="1"/>
  <c r="AJ22" i="76" s="1"/>
  <c r="BP7" i="76"/>
  <c r="BO7" i="76"/>
  <c r="BQ7" i="76" s="1"/>
  <c r="AI22" i="76" s="1"/>
  <c r="BL7" i="76"/>
  <c r="BI7" i="76"/>
  <c r="BH7" i="76"/>
  <c r="BJ7" i="76" s="1"/>
  <c r="BF7" i="76"/>
  <c r="BE7" i="76"/>
  <c r="BG7" i="76" s="1"/>
  <c r="BB7" i="76"/>
  <c r="AY7" i="76"/>
  <c r="AX7" i="76"/>
  <c r="AZ7" i="76" s="1"/>
  <c r="Z22" i="76" s="1"/>
  <c r="AV7" i="76"/>
  <c r="AU7" i="76"/>
  <c r="AW7" i="76" s="1"/>
  <c r="Y22" i="76" s="1"/>
  <c r="AR7" i="76"/>
  <c r="AO7" i="76"/>
  <c r="AN7" i="76"/>
  <c r="AP7" i="76" s="1"/>
  <c r="U22" i="76" s="1"/>
  <c r="AL7" i="76"/>
  <c r="AK7" i="76"/>
  <c r="AM7" i="76" s="1"/>
  <c r="T22" i="76" s="1"/>
  <c r="AH7" i="76"/>
  <c r="AE7" i="76"/>
  <c r="AD7" i="76"/>
  <c r="AF7" i="76" s="1"/>
  <c r="P22" i="76" s="1"/>
  <c r="AB7" i="76"/>
  <c r="AA7" i="76"/>
  <c r="AC7" i="76" s="1"/>
  <c r="O22" i="76" s="1"/>
  <c r="X7" i="76"/>
  <c r="U7" i="76"/>
  <c r="T7" i="76"/>
  <c r="V7" i="76" s="1"/>
  <c r="K22" i="76" s="1"/>
  <c r="R7" i="76"/>
  <c r="Q7" i="76"/>
  <c r="S7" i="76" s="1"/>
  <c r="J22" i="76" s="1"/>
  <c r="N7" i="76"/>
  <c r="K7" i="76"/>
  <c r="F51" i="76" s="1"/>
  <c r="J7" i="76"/>
  <c r="H7" i="76"/>
  <c r="E51" i="76" s="1"/>
  <c r="G7" i="76"/>
  <c r="D7" i="76"/>
  <c r="G51" i="76" s="1"/>
  <c r="CC6" i="76"/>
  <c r="CB6" i="76"/>
  <c r="CD6" i="76" s="1"/>
  <c r="AO21" i="76" s="1"/>
  <c r="BZ6" i="76"/>
  <c r="BY6" i="76"/>
  <c r="CA6" i="76" s="1"/>
  <c r="AN21" i="76" s="1"/>
  <c r="BV6" i="76"/>
  <c r="BS6" i="76"/>
  <c r="BR6" i="76"/>
  <c r="BT6" i="76" s="1"/>
  <c r="AJ21" i="76" s="1"/>
  <c r="BP6" i="76"/>
  <c r="BO6" i="76"/>
  <c r="BQ6" i="76" s="1"/>
  <c r="AI21" i="76" s="1"/>
  <c r="BL6" i="76"/>
  <c r="BI6" i="76"/>
  <c r="BH6" i="76"/>
  <c r="BJ6" i="76" s="1"/>
  <c r="BF6" i="76"/>
  <c r="BE6" i="76"/>
  <c r="BG6" i="76" s="1"/>
  <c r="BB6" i="76"/>
  <c r="AY6" i="76"/>
  <c r="AX6" i="76"/>
  <c r="AZ6" i="76" s="1"/>
  <c r="Z21" i="76" s="1"/>
  <c r="AV6" i="76"/>
  <c r="AU6" i="76"/>
  <c r="AW6" i="76" s="1"/>
  <c r="Y21" i="76" s="1"/>
  <c r="AR6" i="76"/>
  <c r="AO6" i="76"/>
  <c r="AN6" i="76"/>
  <c r="AP6" i="76" s="1"/>
  <c r="U21" i="76" s="1"/>
  <c r="AL6" i="76"/>
  <c r="AK6" i="76"/>
  <c r="AM6" i="76" s="1"/>
  <c r="T21" i="76" s="1"/>
  <c r="AH6" i="76"/>
  <c r="AE6" i="76"/>
  <c r="AD6" i="76"/>
  <c r="AF6" i="76" s="1"/>
  <c r="P21" i="76" s="1"/>
  <c r="AB6" i="76"/>
  <c r="AA6" i="76"/>
  <c r="AC6" i="76" s="1"/>
  <c r="O21" i="76" s="1"/>
  <c r="X6" i="76"/>
  <c r="U6" i="76"/>
  <c r="T6" i="76"/>
  <c r="V6" i="76" s="1"/>
  <c r="K21" i="76" s="1"/>
  <c r="R6" i="76"/>
  <c r="Q6" i="76"/>
  <c r="S6" i="76" s="1"/>
  <c r="J21" i="76" s="1"/>
  <c r="N6" i="76"/>
  <c r="K6" i="76"/>
  <c r="F50" i="76" s="1"/>
  <c r="J6" i="76"/>
  <c r="I6" i="76"/>
  <c r="E21" i="76" s="1"/>
  <c r="H6" i="76"/>
  <c r="E50" i="76" s="1"/>
  <c r="G6" i="76"/>
  <c r="H50" i="76" s="1"/>
  <c r="D6" i="76"/>
  <c r="G50" i="76" s="1"/>
  <c r="CC5" i="76"/>
  <c r="CB5" i="76"/>
  <c r="CD5" i="76" s="1"/>
  <c r="AO20" i="76" s="1"/>
  <c r="BZ5" i="76"/>
  <c r="BY5" i="76"/>
  <c r="CA5" i="76" s="1"/>
  <c r="AN20" i="76" s="1"/>
  <c r="BV5" i="76"/>
  <c r="BS5" i="76"/>
  <c r="BR5" i="76"/>
  <c r="BT5" i="76" s="1"/>
  <c r="AJ20" i="76" s="1"/>
  <c r="BP5" i="76"/>
  <c r="BO5" i="76"/>
  <c r="BQ5" i="76" s="1"/>
  <c r="AI20" i="76" s="1"/>
  <c r="BL5" i="76"/>
  <c r="BI5" i="76"/>
  <c r="BH5" i="76"/>
  <c r="BJ5" i="76" s="1"/>
  <c r="BF5" i="76"/>
  <c r="BE5" i="76"/>
  <c r="BG5" i="76" s="1"/>
  <c r="BB5" i="76"/>
  <c r="AY5" i="76"/>
  <c r="AX5" i="76"/>
  <c r="AZ5" i="76" s="1"/>
  <c r="Z20" i="76" s="1"/>
  <c r="AV5" i="76"/>
  <c r="AU5" i="76"/>
  <c r="AW5" i="76" s="1"/>
  <c r="Y20" i="76" s="1"/>
  <c r="AR5" i="76"/>
  <c r="AO5" i="76"/>
  <c r="AN5" i="76"/>
  <c r="AP5" i="76" s="1"/>
  <c r="U20" i="76" s="1"/>
  <c r="AL5" i="76"/>
  <c r="AK5" i="76"/>
  <c r="AM5" i="76" s="1"/>
  <c r="T20" i="76" s="1"/>
  <c r="AH5" i="76"/>
  <c r="AE5" i="76"/>
  <c r="AD5" i="76"/>
  <c r="AF5" i="76" s="1"/>
  <c r="P20" i="76" s="1"/>
  <c r="AB5" i="76"/>
  <c r="AA5" i="76"/>
  <c r="AC5" i="76" s="1"/>
  <c r="O20" i="76" s="1"/>
  <c r="X5" i="76"/>
  <c r="U5" i="76"/>
  <c r="T5" i="76"/>
  <c r="V5" i="76" s="1"/>
  <c r="K20" i="76" s="1"/>
  <c r="R5" i="76"/>
  <c r="Q5" i="76"/>
  <c r="S5" i="76" s="1"/>
  <c r="J20" i="76" s="1"/>
  <c r="N5" i="76"/>
  <c r="K5" i="76"/>
  <c r="F49" i="76" s="1"/>
  <c r="J5" i="76"/>
  <c r="H5" i="76"/>
  <c r="E49" i="76" s="1"/>
  <c r="G5" i="76"/>
  <c r="D5" i="76"/>
  <c r="G49" i="76" s="1"/>
  <c r="BW12" i="76"/>
  <c r="BX12" i="76" s="1"/>
  <c r="AM27" i="76" s="1"/>
  <c r="R18" i="77"/>
  <c r="U13" i="77"/>
  <c r="T13" i="77"/>
  <c r="S13" i="77"/>
  <c r="M13" i="77"/>
  <c r="L13" i="77"/>
  <c r="K13" i="77"/>
  <c r="J13" i="77"/>
  <c r="I13" i="77"/>
  <c r="H13" i="77"/>
  <c r="G13" i="77"/>
  <c r="F13" i="77"/>
  <c r="U12" i="77"/>
  <c r="T12" i="77"/>
  <c r="S12" i="77"/>
  <c r="M12" i="77"/>
  <c r="L12" i="77"/>
  <c r="K12" i="77"/>
  <c r="J12" i="77"/>
  <c r="I12" i="77"/>
  <c r="H12" i="77"/>
  <c r="G12" i="77"/>
  <c r="F12" i="77"/>
  <c r="U11" i="77"/>
  <c r="T11" i="77"/>
  <c r="S11" i="77"/>
  <c r="M11" i="77"/>
  <c r="L11" i="77"/>
  <c r="K11" i="77"/>
  <c r="J11" i="77"/>
  <c r="I11" i="77"/>
  <c r="H11" i="77"/>
  <c r="G11" i="77"/>
  <c r="F11" i="77"/>
  <c r="U10" i="77"/>
  <c r="T10" i="77"/>
  <c r="S10" i="77"/>
  <c r="M10" i="77"/>
  <c r="L10" i="77"/>
  <c r="K10" i="77"/>
  <c r="J10" i="77"/>
  <c r="I10" i="77"/>
  <c r="H10" i="77"/>
  <c r="G10" i="77"/>
  <c r="F10" i="77"/>
  <c r="U9" i="77"/>
  <c r="T9" i="77"/>
  <c r="S9" i="77"/>
  <c r="M9" i="77"/>
  <c r="L9" i="77"/>
  <c r="K9" i="77"/>
  <c r="J9" i="77"/>
  <c r="I9" i="77"/>
  <c r="H9" i="77"/>
  <c r="G9" i="77"/>
  <c r="F9" i="77"/>
  <c r="U8" i="77"/>
  <c r="T8" i="77"/>
  <c r="S8" i="77"/>
  <c r="M8" i="77"/>
  <c r="L8" i="77"/>
  <c r="K8" i="77"/>
  <c r="J8" i="77"/>
  <c r="I8" i="77"/>
  <c r="H8" i="77"/>
  <c r="G8" i="77"/>
  <c r="F8" i="77"/>
  <c r="U7" i="77"/>
  <c r="T7" i="77"/>
  <c r="S7" i="77"/>
  <c r="M7" i="77"/>
  <c r="L7" i="77"/>
  <c r="K7" i="77"/>
  <c r="J7" i="77"/>
  <c r="I7" i="77"/>
  <c r="H7" i="77"/>
  <c r="G7" i="77"/>
  <c r="F7" i="77"/>
  <c r="U6" i="77"/>
  <c r="T6" i="77"/>
  <c r="S6" i="77"/>
  <c r="M6" i="77"/>
  <c r="L6" i="77"/>
  <c r="K6" i="77"/>
  <c r="J6" i="77"/>
  <c r="I6" i="77"/>
  <c r="H6" i="77"/>
  <c r="G6" i="77"/>
  <c r="F6" i="77"/>
  <c r="U5" i="77"/>
  <c r="T5" i="77"/>
  <c r="S5" i="77"/>
  <c r="M5" i="77"/>
  <c r="L5" i="77"/>
  <c r="K5" i="77"/>
  <c r="J5" i="77"/>
  <c r="I5" i="77"/>
  <c r="H5" i="77"/>
  <c r="G5" i="77"/>
  <c r="F5" i="77"/>
  <c r="U4" i="77"/>
  <c r="T4" i="77"/>
  <c r="S4" i="77"/>
  <c r="AD28" i="76" l="1"/>
  <c r="AE28" i="76"/>
  <c r="L13" i="76"/>
  <c r="F28" i="76" s="1"/>
  <c r="I57" i="76"/>
  <c r="H57" i="76"/>
  <c r="I13" i="76"/>
  <c r="E28" i="76" s="1"/>
  <c r="AE27" i="76"/>
  <c r="AD27" i="76"/>
  <c r="L12" i="76"/>
  <c r="F27" i="76" s="1"/>
  <c r="I56" i="76"/>
  <c r="H56" i="76"/>
  <c r="I12" i="76"/>
  <c r="E27" i="76" s="1"/>
  <c r="AE26" i="76"/>
  <c r="AD26" i="76"/>
  <c r="L11" i="76"/>
  <c r="F26" i="76" s="1"/>
  <c r="I55" i="76"/>
  <c r="I11" i="76"/>
  <c r="E26" i="76" s="1"/>
  <c r="H55" i="76"/>
  <c r="AD25" i="76"/>
  <c r="AE25" i="76"/>
  <c r="I54" i="76"/>
  <c r="L10" i="76"/>
  <c r="F25" i="76" s="1"/>
  <c r="H54" i="76"/>
  <c r="I10" i="76"/>
  <c r="E25" i="76" s="1"/>
  <c r="AE24" i="76"/>
  <c r="AD24" i="76"/>
  <c r="L9" i="76"/>
  <c r="F24" i="76" s="1"/>
  <c r="I53" i="76"/>
  <c r="H53" i="76"/>
  <c r="I9" i="76"/>
  <c r="E24" i="76" s="1"/>
  <c r="AE23" i="76"/>
  <c r="AD23" i="76"/>
  <c r="L8" i="76"/>
  <c r="F23" i="76" s="1"/>
  <c r="I52" i="76"/>
  <c r="I8" i="76"/>
  <c r="E23" i="76" s="1"/>
  <c r="H52" i="76"/>
  <c r="AD22" i="76"/>
  <c r="AE22" i="76"/>
  <c r="I51" i="76"/>
  <c r="L7" i="76"/>
  <c r="F22" i="76" s="1"/>
  <c r="H51" i="76"/>
  <c r="I7" i="76"/>
  <c r="E22" i="76" s="1"/>
  <c r="AD21" i="76"/>
  <c r="AE21" i="76"/>
  <c r="I50" i="76"/>
  <c r="L6" i="76"/>
  <c r="F21" i="76" s="1"/>
  <c r="E35" i="76"/>
  <c r="H35" i="76"/>
  <c r="AE20" i="76"/>
  <c r="AD20" i="76"/>
  <c r="I49" i="76"/>
  <c r="L5" i="76"/>
  <c r="F20" i="76" s="1"/>
  <c r="I5" i="76"/>
  <c r="E20" i="76" s="1"/>
  <c r="H49" i="76"/>
  <c r="I2" i="45"/>
  <c r="J2" i="45"/>
  <c r="H2" i="45"/>
  <c r="C2" i="45"/>
  <c r="K2" i="45"/>
  <c r="Y8" i="76"/>
  <c r="Z8" i="76" s="1"/>
  <c r="N23" i="76" s="1"/>
  <c r="BW13" i="76"/>
  <c r="BX13" i="76" s="1"/>
  <c r="AM28" i="76" s="1"/>
  <c r="AS7" i="76"/>
  <c r="AT7" i="76" s="1"/>
  <c r="X22" i="76" s="1"/>
  <c r="AI9" i="76"/>
  <c r="AJ9" i="76" s="1"/>
  <c r="S24" i="76" s="1"/>
  <c r="BC9" i="76"/>
  <c r="BD9" i="76" s="1"/>
  <c r="AC24" i="76" s="1"/>
  <c r="O9" i="76"/>
  <c r="P9" i="76" s="1"/>
  <c r="I24" i="76" s="1"/>
  <c r="E10" i="76"/>
  <c r="BM7" i="76"/>
  <c r="BN7" i="76" s="1"/>
  <c r="AH22" i="76" s="1"/>
  <c r="AI7" i="76"/>
  <c r="AJ7" i="76" s="1"/>
  <c r="S22" i="76" s="1"/>
  <c r="BM8" i="76"/>
  <c r="BN8" i="76" s="1"/>
  <c r="AH23" i="76" s="1"/>
  <c r="AS10" i="76"/>
  <c r="AT10" i="76" s="1"/>
  <c r="X25" i="76" s="1"/>
  <c r="E9" i="76"/>
  <c r="Y9" i="76"/>
  <c r="Z9" i="76" s="1"/>
  <c r="N24" i="76" s="1"/>
  <c r="BC12" i="76"/>
  <c r="BD12" i="76" s="1"/>
  <c r="AC27" i="76" s="1"/>
  <c r="O10" i="76"/>
  <c r="P10" i="76" s="1"/>
  <c r="I25" i="76" s="1"/>
  <c r="E6" i="76"/>
  <c r="AI13" i="76"/>
  <c r="AJ13" i="76" s="1"/>
  <c r="S28" i="76" s="1"/>
  <c r="Y13" i="76"/>
  <c r="Z13" i="76" s="1"/>
  <c r="N28" i="76" s="1"/>
  <c r="O12" i="76"/>
  <c r="P12" i="76" s="1"/>
  <c r="I27" i="76" s="1"/>
  <c r="AS5" i="76"/>
  <c r="AT5" i="76" s="1"/>
  <c r="X20" i="76" s="1"/>
  <c r="BW6" i="76"/>
  <c r="BX6" i="76" s="1"/>
  <c r="AM21" i="76" s="1"/>
  <c r="BM11" i="76"/>
  <c r="BN11" i="76" s="1"/>
  <c r="AH26" i="76" s="1"/>
  <c r="BC7" i="76"/>
  <c r="BD7" i="76" s="1"/>
  <c r="AC22" i="76" s="1"/>
  <c r="BC10" i="76"/>
  <c r="BD10" i="76" s="1"/>
  <c r="AC25" i="76" s="1"/>
  <c r="E12" i="76"/>
  <c r="AI5" i="76"/>
  <c r="AJ5" i="76" s="1"/>
  <c r="S20" i="76" s="1"/>
  <c r="O11" i="76"/>
  <c r="P11" i="76" s="1"/>
  <c r="I26" i="76" s="1"/>
  <c r="AS13" i="76"/>
  <c r="AT13" i="76" s="1"/>
  <c r="X28" i="76" s="1"/>
  <c r="Y7" i="76"/>
  <c r="Z7" i="76" s="1"/>
  <c r="N22" i="76" s="1"/>
  <c r="BM10" i="76"/>
  <c r="BN10" i="76" s="1"/>
  <c r="AH25" i="76" s="1"/>
  <c r="BW7" i="76"/>
  <c r="BX7" i="76" s="1"/>
  <c r="AM22" i="76" s="1"/>
  <c r="BM9" i="76"/>
  <c r="BN9" i="76" s="1"/>
  <c r="AH24" i="76" s="1"/>
  <c r="Y11" i="76"/>
  <c r="Z11" i="76" s="1"/>
  <c r="N26" i="76" s="1"/>
  <c r="AI12" i="76"/>
  <c r="AJ12" i="76" s="1"/>
  <c r="S27" i="76" s="1"/>
  <c r="AS6" i="76"/>
  <c r="AT6" i="76" s="1"/>
  <c r="X21" i="76" s="1"/>
  <c r="BW11" i="76"/>
  <c r="BX11" i="76" s="1"/>
  <c r="AM26" i="76" s="1"/>
  <c r="O7" i="76"/>
  <c r="P7" i="76" s="1"/>
  <c r="I22" i="76" s="1"/>
  <c r="BC6" i="76"/>
  <c r="BD6" i="76" s="1"/>
  <c r="AC21" i="76" s="1"/>
  <c r="E11" i="76"/>
  <c r="BM5" i="76"/>
  <c r="BN5" i="76" s="1"/>
  <c r="AH20" i="76" s="1"/>
  <c r="AI8" i="76"/>
  <c r="AJ8" i="76" s="1"/>
  <c r="S23" i="76" s="1"/>
  <c r="Y12" i="76"/>
  <c r="Z12" i="76" s="1"/>
  <c r="N27" i="76" s="1"/>
  <c r="O6" i="76"/>
  <c r="P6" i="76" s="1"/>
  <c r="I21" i="76" s="1"/>
  <c r="AS8" i="76"/>
  <c r="AT8" i="76" s="1"/>
  <c r="X23" i="76" s="1"/>
  <c r="BC13" i="76"/>
  <c r="BD13" i="76" s="1"/>
  <c r="AC28" i="76" s="1"/>
  <c r="BW8" i="76"/>
  <c r="BX8" i="76" s="1"/>
  <c r="AM23" i="76" s="1"/>
  <c r="BC5" i="76"/>
  <c r="BD5" i="76" s="1"/>
  <c r="AC20" i="76" s="1"/>
  <c r="BW10" i="76"/>
  <c r="BX10" i="76" s="1"/>
  <c r="AM25" i="76" s="1"/>
  <c r="Y6" i="76"/>
  <c r="Z6" i="76" s="1"/>
  <c r="N21" i="76" s="1"/>
  <c r="BM12" i="76"/>
  <c r="BN12" i="76" s="1"/>
  <c r="AH27" i="76" s="1"/>
  <c r="O13" i="76"/>
  <c r="P13" i="76" s="1"/>
  <c r="I28" i="76" s="1"/>
  <c r="E7" i="76"/>
  <c r="AS12" i="76"/>
  <c r="AT12" i="76" s="1"/>
  <c r="X27" i="76" s="1"/>
  <c r="AI6" i="76"/>
  <c r="AJ6" i="76" s="1"/>
  <c r="S21" i="76" s="1"/>
  <c r="AI10" i="76"/>
  <c r="AJ10" i="76" s="1"/>
  <c r="S25" i="76" s="1"/>
  <c r="E5" i="76"/>
  <c r="Y10" i="76"/>
  <c r="Z10" i="76" s="1"/>
  <c r="N25" i="76" s="1"/>
  <c r="BW9" i="76"/>
  <c r="BX9" i="76" s="1"/>
  <c r="AM24" i="76" s="1"/>
  <c r="BC11" i="76"/>
  <c r="BD11" i="76" s="1"/>
  <c r="AC26" i="76" s="1"/>
  <c r="AS11" i="76"/>
  <c r="AT11" i="76" s="1"/>
  <c r="X26" i="76" s="1"/>
  <c r="O5" i="76"/>
  <c r="P5" i="76" s="1"/>
  <c r="I20" i="76" s="1"/>
  <c r="BM6" i="76"/>
  <c r="BN6" i="76" s="1"/>
  <c r="AH21" i="76" s="1"/>
  <c r="B15" i="76"/>
  <c r="AS9" i="76"/>
  <c r="AT9" i="76" s="1"/>
  <c r="X24" i="76" s="1"/>
  <c r="O8" i="76"/>
  <c r="P8" i="76" s="1"/>
  <c r="I23" i="76" s="1"/>
  <c r="E13" i="76"/>
  <c r="BW5" i="76"/>
  <c r="BX5" i="76" s="1"/>
  <c r="AM20" i="76" s="1"/>
  <c r="AI11" i="76"/>
  <c r="AJ11" i="76" s="1"/>
  <c r="S26" i="76" s="1"/>
  <c r="Y5" i="76"/>
  <c r="Z5" i="76" s="1"/>
  <c r="N20" i="76" s="1"/>
  <c r="E8" i="76"/>
  <c r="BC8" i="76"/>
  <c r="BD8" i="76" s="1"/>
  <c r="AC23" i="76" s="1"/>
  <c r="BM13" i="76"/>
  <c r="BN13" i="76" s="1"/>
  <c r="AH28" i="76" s="1"/>
  <c r="A1" i="56"/>
  <c r="G2" i="45"/>
  <c r="F2" i="45"/>
  <c r="E2" i="45"/>
  <c r="D2" i="45"/>
  <c r="A3" i="56"/>
  <c r="P3" i="45"/>
  <c r="AA3" i="45" s="1"/>
  <c r="AL3" i="45" s="1"/>
  <c r="B3" i="45"/>
  <c r="F42" i="76" l="1"/>
  <c r="I42" i="76"/>
  <c r="H42" i="76"/>
  <c r="E42" i="76"/>
  <c r="I41" i="76"/>
  <c r="F41" i="76"/>
  <c r="E41" i="76"/>
  <c r="H41" i="76"/>
  <c r="F40" i="76"/>
  <c r="I40" i="76"/>
  <c r="E40" i="76"/>
  <c r="H40" i="76"/>
  <c r="F39" i="76"/>
  <c r="I39" i="76"/>
  <c r="E39" i="76"/>
  <c r="H39" i="76"/>
  <c r="I38" i="76"/>
  <c r="F38" i="76"/>
  <c r="E38" i="76"/>
  <c r="H38" i="76"/>
  <c r="F37" i="76"/>
  <c r="I37" i="76"/>
  <c r="E37" i="76"/>
  <c r="H37" i="76"/>
  <c r="I36" i="76"/>
  <c r="F36" i="76"/>
  <c r="H36" i="76"/>
  <c r="E36" i="76"/>
  <c r="F35" i="76"/>
  <c r="I35" i="76"/>
  <c r="I34" i="76"/>
  <c r="F34" i="76"/>
  <c r="H34" i="76"/>
  <c r="E34" i="76"/>
  <c r="F10" i="76"/>
  <c r="D25" i="76" s="1"/>
  <c r="D54" i="76"/>
  <c r="F9" i="76"/>
  <c r="D24" i="76" s="1"/>
  <c r="D53" i="76"/>
  <c r="F6" i="76"/>
  <c r="D21" i="76" s="1"/>
  <c r="D50" i="76"/>
  <c r="F12" i="76"/>
  <c r="D27" i="76" s="1"/>
  <c r="D56" i="76"/>
  <c r="F11" i="76"/>
  <c r="D26" i="76" s="1"/>
  <c r="D55" i="76"/>
  <c r="F7" i="76"/>
  <c r="D22" i="76" s="1"/>
  <c r="D51" i="76"/>
  <c r="F5" i="76"/>
  <c r="D20" i="76" s="1"/>
  <c r="R38" i="76"/>
  <c r="D49" i="76"/>
  <c r="F13" i="76"/>
  <c r="D28" i="76" s="1"/>
  <c r="D57" i="76"/>
  <c r="F8" i="76"/>
  <c r="D23" i="76" s="1"/>
  <c r="D52" i="76"/>
  <c r="Q2" i="45"/>
  <c r="Y2" i="45"/>
  <c r="X2" i="45"/>
  <c r="W2" i="45"/>
  <c r="V2" i="45"/>
  <c r="U2" i="45"/>
  <c r="T2" i="45"/>
  <c r="S2" i="45"/>
  <c r="R2" i="45"/>
  <c r="I3" i="45"/>
  <c r="H3" i="45"/>
  <c r="B4" i="45"/>
  <c r="P4" i="45"/>
  <c r="AA4" i="45" s="1"/>
  <c r="AL4" i="45" s="1"/>
  <c r="A4" i="56"/>
  <c r="F3" i="45"/>
  <c r="E3" i="45"/>
  <c r="G3" i="45"/>
  <c r="C3" i="45"/>
  <c r="K3" i="45"/>
  <c r="J3" i="45"/>
  <c r="D3" i="45"/>
  <c r="D39" i="76" l="1"/>
  <c r="G39" i="76"/>
  <c r="G38" i="76"/>
  <c r="D38" i="76"/>
  <c r="G35" i="76"/>
  <c r="D35" i="76"/>
  <c r="G41" i="76"/>
  <c r="D41" i="76"/>
  <c r="D40" i="76"/>
  <c r="G40" i="76"/>
  <c r="D36" i="76"/>
  <c r="G36" i="76"/>
  <c r="G34" i="76"/>
  <c r="D34" i="76"/>
  <c r="D42" i="76"/>
  <c r="G42" i="76"/>
  <c r="D37" i="76"/>
  <c r="G37" i="76"/>
  <c r="J37" i="76" s="1"/>
  <c r="AB2" i="45" a="1"/>
  <c r="AM2" i="45" a="1"/>
  <c r="B5" i="45"/>
  <c r="P5" i="45"/>
  <c r="AA5" i="45" s="1"/>
  <c r="AL5" i="45" s="1"/>
  <c r="A5" i="56"/>
  <c r="G4" i="45"/>
  <c r="D4" i="45"/>
  <c r="F4" i="45"/>
  <c r="J38" i="76" l="1"/>
  <c r="J40" i="76"/>
  <c r="J42" i="76"/>
  <c r="J35" i="76"/>
  <c r="J41" i="76"/>
  <c r="J34" i="76"/>
  <c r="J39" i="76"/>
  <c r="K39" i="76" s="1"/>
  <c r="J36" i="76"/>
  <c r="W3" i="45"/>
  <c r="V3" i="45"/>
  <c r="B6" i="45"/>
  <c r="P6" i="45"/>
  <c r="AA6" i="45" s="1"/>
  <c r="AL6" i="45" s="1"/>
  <c r="A6" i="56"/>
  <c r="C5" i="45"/>
  <c r="E5" i="45"/>
  <c r="G5" i="45"/>
  <c r="D5" i="45"/>
  <c r="F5" i="45"/>
  <c r="H5" i="45"/>
  <c r="I5" i="45"/>
  <c r="J5" i="45"/>
  <c r="K5" i="45"/>
  <c r="T3" i="45"/>
  <c r="S3" i="45"/>
  <c r="U3" i="45"/>
  <c r="Q3" i="45"/>
  <c r="Y3" i="45"/>
  <c r="X3" i="45"/>
  <c r="R3" i="45"/>
  <c r="C4" i="45"/>
  <c r="E4" i="45"/>
  <c r="H4" i="45"/>
  <c r="I4" i="45"/>
  <c r="J4" i="45"/>
  <c r="K4" i="45"/>
  <c r="K37" i="76" l="1"/>
  <c r="K34" i="76"/>
  <c r="K38" i="76"/>
  <c r="K40" i="76"/>
  <c r="K42" i="76"/>
  <c r="K35" i="76"/>
  <c r="K41" i="76"/>
  <c r="K36" i="76"/>
  <c r="B7" i="45"/>
  <c r="P7" i="45"/>
  <c r="AA7" i="45" s="1"/>
  <c r="AL7" i="45" s="1"/>
  <c r="A7" i="56"/>
  <c r="C6" i="45"/>
  <c r="D6" i="45"/>
  <c r="G6" i="45"/>
  <c r="H6" i="45"/>
  <c r="E6" i="45"/>
  <c r="I6" i="45"/>
  <c r="J6" i="45"/>
  <c r="K6" i="45"/>
  <c r="Q4" i="45"/>
  <c r="AB3" i="45" a="1"/>
  <c r="AM3" i="45" a="1"/>
  <c r="S4" i="45"/>
  <c r="T4" i="45"/>
  <c r="X4" i="45"/>
  <c r="U4" i="45"/>
  <c r="R4" i="45"/>
  <c r="V4" i="45"/>
  <c r="W4" i="45"/>
  <c r="Y4" i="45"/>
  <c r="M40" i="76" l="1"/>
  <c r="M39" i="76"/>
  <c r="M37" i="76"/>
  <c r="M36" i="76"/>
  <c r="M35" i="76"/>
  <c r="M34" i="76"/>
  <c r="M42" i="76"/>
  <c r="M41" i="76"/>
  <c r="M38" i="76"/>
  <c r="B8" i="45"/>
  <c r="P8" i="45"/>
  <c r="AA8" i="45" s="1"/>
  <c r="AL8" i="45" s="1"/>
  <c r="A8" i="56"/>
  <c r="C7" i="45"/>
  <c r="G7" i="45"/>
  <c r="D7" i="45"/>
  <c r="E7" i="45"/>
  <c r="F7" i="45"/>
  <c r="H7" i="45"/>
  <c r="I7" i="45"/>
  <c r="J7" i="45"/>
  <c r="K7" i="45"/>
  <c r="Q5" i="45"/>
  <c r="R5" i="45"/>
  <c r="S5" i="45"/>
  <c r="U5" i="45"/>
  <c r="T5" i="45"/>
  <c r="V5" i="45"/>
  <c r="W5" i="45"/>
  <c r="X5" i="45"/>
  <c r="Y5" i="45"/>
  <c r="AB4" i="45" a="1"/>
  <c r="AM4" i="45" a="1"/>
  <c r="F6" i="45"/>
  <c r="N40" i="76" l="1"/>
  <c r="O40" i="76"/>
  <c r="P40" i="76"/>
  <c r="N39" i="76"/>
  <c r="O39" i="76"/>
  <c r="P39" i="76"/>
  <c r="O37" i="76"/>
  <c r="N37" i="76"/>
  <c r="P37" i="76"/>
  <c r="N36" i="76"/>
  <c r="O36" i="76"/>
  <c r="P36" i="76"/>
  <c r="N35" i="76"/>
  <c r="O35" i="76"/>
  <c r="P35" i="76"/>
  <c r="N34" i="76"/>
  <c r="O34" i="76"/>
  <c r="P34" i="76"/>
  <c r="P42" i="76"/>
  <c r="N42" i="76"/>
  <c r="O42" i="76"/>
  <c r="N41" i="76"/>
  <c r="O41" i="76"/>
  <c r="P41" i="76"/>
  <c r="N38" i="76"/>
  <c r="O38" i="76"/>
  <c r="P38" i="76"/>
  <c r="E8" i="45"/>
  <c r="G8" i="45"/>
  <c r="H8" i="45"/>
  <c r="B9" i="45"/>
  <c r="P9" i="45"/>
  <c r="AA9" i="45" s="1"/>
  <c r="AL9" i="45" s="1"/>
  <c r="A9" i="56"/>
  <c r="C8" i="45"/>
  <c r="F8" i="45"/>
  <c r="I8" i="45"/>
  <c r="J8" i="45"/>
  <c r="K8" i="45"/>
  <c r="Q6" i="45"/>
  <c r="V6" i="45"/>
  <c r="W6" i="45"/>
  <c r="X6" i="45"/>
  <c r="Y6" i="45"/>
  <c r="AB5" i="45" a="1"/>
  <c r="AM5" i="45" a="1"/>
  <c r="U6" i="45"/>
  <c r="S6" i="45"/>
  <c r="T6" i="45"/>
  <c r="R6" i="45"/>
  <c r="R34" i="76" l="1"/>
  <c r="R35" i="76"/>
  <c r="R36" i="76"/>
  <c r="B10" i="45"/>
  <c r="P10" i="45"/>
  <c r="AA10" i="45" s="1"/>
  <c r="AL10" i="45" s="1"/>
  <c r="A10" i="56"/>
  <c r="F9" i="45"/>
  <c r="H9" i="45"/>
  <c r="I9" i="45"/>
  <c r="J9" i="45"/>
  <c r="K9" i="45"/>
  <c r="C9" i="45"/>
  <c r="E9" i="45"/>
  <c r="G9" i="45"/>
  <c r="Q7" i="45"/>
  <c r="U7" i="45"/>
  <c r="R7" i="45"/>
  <c r="S7" i="45"/>
  <c r="T7" i="45"/>
  <c r="V7" i="45"/>
  <c r="W7" i="45"/>
  <c r="X7" i="45"/>
  <c r="Y7" i="45"/>
  <c r="AB6" i="45" a="1"/>
  <c r="AM6" i="45" a="1"/>
  <c r="D8" i="45"/>
  <c r="W8" i="45" l="1"/>
  <c r="B11" i="45"/>
  <c r="P11" i="45"/>
  <c r="AA11" i="45" s="1"/>
  <c r="AL11" i="45" s="1"/>
  <c r="A11" i="56"/>
  <c r="E10" i="45"/>
  <c r="F10" i="45"/>
  <c r="G10" i="45"/>
  <c r="I10" i="45"/>
  <c r="J10" i="45"/>
  <c r="K10" i="45"/>
  <c r="C10" i="45"/>
  <c r="H10" i="45"/>
  <c r="Q8" i="45"/>
  <c r="Y8" i="45"/>
  <c r="AB7" i="45" a="1"/>
  <c r="AM7" i="45" a="1"/>
  <c r="S8" i="45"/>
  <c r="U8" i="45"/>
  <c r="V8" i="45"/>
  <c r="X8" i="45"/>
  <c r="R8" i="45"/>
  <c r="T8" i="45"/>
  <c r="D9" i="45"/>
  <c r="B12" i="45" l="1"/>
  <c r="P12" i="45"/>
  <c r="AA12" i="45" s="1"/>
  <c r="AL12" i="45" s="1"/>
  <c r="A12" i="56"/>
  <c r="E11" i="45"/>
  <c r="F11" i="45"/>
  <c r="G11" i="45"/>
  <c r="H11" i="45"/>
  <c r="I11" i="45"/>
  <c r="J11" i="45"/>
  <c r="K11" i="45"/>
  <c r="C11" i="45"/>
  <c r="D11" i="45"/>
  <c r="R9" i="45"/>
  <c r="T9" i="45"/>
  <c r="V9" i="45"/>
  <c r="W9" i="45"/>
  <c r="X9" i="45"/>
  <c r="Y9" i="45"/>
  <c r="Q9" i="45"/>
  <c r="S9" i="45"/>
  <c r="U9" i="45"/>
  <c r="AB8" i="45" a="1"/>
  <c r="AM8" i="45" a="1"/>
  <c r="D10" i="45"/>
  <c r="Y10" i="45" l="1"/>
  <c r="B13" i="45"/>
  <c r="P13" i="45"/>
  <c r="AA13" i="45" s="1"/>
  <c r="AL13" i="45" s="1"/>
  <c r="A13" i="56"/>
  <c r="F12" i="45"/>
  <c r="H12" i="45"/>
  <c r="I12" i="45"/>
  <c r="J12" i="45"/>
  <c r="K12" i="45"/>
  <c r="C12" i="45"/>
  <c r="D12" i="45"/>
  <c r="E12" i="45"/>
  <c r="G12" i="45"/>
  <c r="AB9" i="45" a="1"/>
  <c r="AM9" i="45" a="1"/>
  <c r="U10" i="45"/>
  <c r="W10" i="45"/>
  <c r="X10" i="45"/>
  <c r="S10" i="45"/>
  <c r="T10" i="45"/>
  <c r="Q10" i="45"/>
  <c r="R10" i="45"/>
  <c r="V10" i="45"/>
  <c r="U11" i="45" l="1"/>
  <c r="V11" i="45"/>
  <c r="B14" i="45"/>
  <c r="P14" i="45"/>
  <c r="AA14" i="45" s="1"/>
  <c r="AL14" i="45" s="1"/>
  <c r="A14" i="56"/>
  <c r="E13" i="45"/>
  <c r="F13" i="45"/>
  <c r="G13" i="45"/>
  <c r="H13" i="45"/>
  <c r="I13" i="45"/>
  <c r="J13" i="45"/>
  <c r="K13" i="45"/>
  <c r="C13" i="45"/>
  <c r="D13" i="45"/>
  <c r="AB10" i="45" a="1"/>
  <c r="AM10" i="45" a="1"/>
  <c r="R11" i="45"/>
  <c r="S11" i="45"/>
  <c r="W11" i="45"/>
  <c r="X11" i="45"/>
  <c r="Q11" i="45"/>
  <c r="T11" i="45"/>
  <c r="Y11" i="45"/>
  <c r="B15" i="45" l="1"/>
  <c r="P15" i="45"/>
  <c r="AA15" i="45" s="1"/>
  <c r="AL15" i="45" s="1"/>
  <c r="A15" i="56"/>
  <c r="I14" i="45"/>
  <c r="J14" i="45"/>
  <c r="K14" i="45"/>
  <c r="C14" i="45"/>
  <c r="D14" i="45"/>
  <c r="E14" i="45"/>
  <c r="F14" i="45"/>
  <c r="G14" i="45"/>
  <c r="H14" i="45"/>
  <c r="AB11" i="45" a="1"/>
  <c r="AM11" i="45" a="1"/>
  <c r="W12" i="45"/>
  <c r="X12" i="45"/>
  <c r="Q12" i="45"/>
  <c r="R12" i="45"/>
  <c r="S12" i="45"/>
  <c r="U12" i="45"/>
  <c r="T12" i="45"/>
  <c r="V12" i="45"/>
  <c r="Y12" i="45"/>
  <c r="B16" i="45" l="1"/>
  <c r="P16" i="45"/>
  <c r="AA16" i="45" s="1"/>
  <c r="AL16" i="45" s="1"/>
  <c r="A16" i="56"/>
  <c r="E15" i="45"/>
  <c r="H15" i="45"/>
  <c r="I15" i="45"/>
  <c r="J15" i="45"/>
  <c r="K15" i="45"/>
  <c r="C15" i="45"/>
  <c r="D15" i="45"/>
  <c r="F15" i="45"/>
  <c r="G15" i="45"/>
  <c r="AB12" i="45" a="1"/>
  <c r="AM12" i="45" a="1"/>
  <c r="S13" i="45"/>
  <c r="R13" i="45"/>
  <c r="T13" i="45"/>
  <c r="V13" i="45"/>
  <c r="W13" i="45"/>
  <c r="Q13" i="45"/>
  <c r="U13" i="45"/>
  <c r="X13" i="45"/>
  <c r="Y13" i="45"/>
  <c r="B17" i="45" l="1"/>
  <c r="P17" i="45"/>
  <c r="AA17" i="45" s="1"/>
  <c r="AL17" i="45" s="1"/>
  <c r="A17" i="56"/>
  <c r="C16" i="45"/>
  <c r="D16" i="45"/>
  <c r="F16" i="45"/>
  <c r="G16" i="45"/>
  <c r="H16" i="45"/>
  <c r="I16" i="45"/>
  <c r="J16" i="45"/>
  <c r="K16" i="45"/>
  <c r="E16" i="45"/>
  <c r="AB13" i="45" a="1"/>
  <c r="AM13" i="45" a="1"/>
  <c r="Q14" i="45"/>
  <c r="S14" i="45"/>
  <c r="T14" i="45"/>
  <c r="V14" i="45"/>
  <c r="Y14" i="45"/>
  <c r="R14" i="45"/>
  <c r="W14" i="45"/>
  <c r="X14" i="45"/>
  <c r="U14" i="45"/>
  <c r="Q15" i="45" l="1"/>
  <c r="T15" i="45"/>
  <c r="B18" i="45"/>
  <c r="P18" i="45"/>
  <c r="AA18" i="45" s="1"/>
  <c r="AL18" i="45" s="1"/>
  <c r="A18" i="56"/>
  <c r="C17" i="45"/>
  <c r="D17" i="45"/>
  <c r="E17" i="45"/>
  <c r="G17" i="45"/>
  <c r="I17" i="45"/>
  <c r="J17" i="45"/>
  <c r="K17" i="45"/>
  <c r="F17" i="45"/>
  <c r="H17" i="45"/>
  <c r="AB14" i="45" a="1"/>
  <c r="AM14" i="45" a="1"/>
  <c r="V15" i="45"/>
  <c r="Y15" i="45"/>
  <c r="R15" i="45"/>
  <c r="S15" i="45"/>
  <c r="W15" i="45"/>
  <c r="U15" i="45"/>
  <c r="X15" i="45"/>
  <c r="B19" i="45" l="1"/>
  <c r="P19" i="45"/>
  <c r="AA19" i="45" s="1"/>
  <c r="AL19" i="45" s="1"/>
  <c r="A19" i="56"/>
  <c r="C18" i="45"/>
  <c r="D18" i="45"/>
  <c r="E18" i="45"/>
  <c r="I18" i="45"/>
  <c r="J18" i="45"/>
  <c r="K18" i="45"/>
  <c r="F18" i="45"/>
  <c r="G18" i="45"/>
  <c r="H18" i="45"/>
  <c r="T16" i="45"/>
  <c r="Q16" i="45"/>
  <c r="W16" i="45"/>
  <c r="X16" i="45"/>
  <c r="Y16" i="45"/>
  <c r="S16" i="45"/>
  <c r="U16" i="45"/>
  <c r="V16" i="45"/>
  <c r="R16" i="45"/>
  <c r="AB15" i="45" a="1"/>
  <c r="AM15" i="45" a="1"/>
  <c r="B20" i="45" l="1"/>
  <c r="P20" i="45"/>
  <c r="AA20" i="45" s="1"/>
  <c r="AL20" i="45" s="1"/>
  <c r="A20" i="56"/>
  <c r="C19" i="45"/>
  <c r="D19" i="45"/>
  <c r="F19" i="45"/>
  <c r="G19" i="45"/>
  <c r="H19" i="45"/>
  <c r="I19" i="45"/>
  <c r="J19" i="45"/>
  <c r="K19" i="45"/>
  <c r="E19" i="45"/>
  <c r="AB16" i="45" a="1"/>
  <c r="AM16" i="45" a="1"/>
  <c r="S17" i="45"/>
  <c r="U17" i="45"/>
  <c r="X17" i="45"/>
  <c r="Y17" i="45"/>
  <c r="T17" i="45"/>
  <c r="V17" i="45"/>
  <c r="R17" i="45"/>
  <c r="Q17" i="45"/>
  <c r="W17" i="45"/>
  <c r="B21" i="45" l="1"/>
  <c r="P21" i="45"/>
  <c r="AA21" i="45" s="1"/>
  <c r="AL21" i="45" s="1"/>
  <c r="A21" i="56"/>
  <c r="C20" i="45"/>
  <c r="D20" i="45"/>
  <c r="F20" i="45"/>
  <c r="I20" i="45"/>
  <c r="J20" i="45"/>
  <c r="K20" i="45"/>
  <c r="E20" i="45"/>
  <c r="G20" i="45"/>
  <c r="H20" i="45"/>
  <c r="AB17" i="45" a="1"/>
  <c r="AM17" i="45" a="1"/>
  <c r="Q18" i="45"/>
  <c r="W18" i="45"/>
  <c r="S18" i="45"/>
  <c r="U18" i="45"/>
  <c r="V18" i="45"/>
  <c r="Y18" i="45"/>
  <c r="T18" i="45"/>
  <c r="R18" i="45"/>
  <c r="X18" i="45"/>
  <c r="T19" i="45" l="1"/>
  <c r="B22" i="45"/>
  <c r="P22" i="45"/>
  <c r="AA22" i="45" s="1"/>
  <c r="AL22" i="45" s="1"/>
  <c r="A22" i="56"/>
  <c r="C21" i="45"/>
  <c r="D21" i="45"/>
  <c r="E21" i="45"/>
  <c r="F21" i="45"/>
  <c r="G21" i="45"/>
  <c r="H21" i="45"/>
  <c r="I21" i="45"/>
  <c r="J21" i="45"/>
  <c r="K21" i="45"/>
  <c r="AB18" i="45" a="1"/>
  <c r="AM18" i="45" a="1"/>
  <c r="W19" i="45"/>
  <c r="Q19" i="45"/>
  <c r="X19" i="45"/>
  <c r="U19" i="45"/>
  <c r="V19" i="45"/>
  <c r="Y19" i="45"/>
  <c r="S19" i="45"/>
  <c r="R19" i="45"/>
  <c r="Y20" i="45" l="1"/>
  <c r="V20" i="45"/>
  <c r="B23" i="45"/>
  <c r="P23" i="45"/>
  <c r="AA23" i="45" s="1"/>
  <c r="AL23" i="45" s="1"/>
  <c r="A23" i="56"/>
  <c r="C22" i="45"/>
  <c r="D22" i="45"/>
  <c r="E22" i="45"/>
  <c r="F22" i="45"/>
  <c r="G22" i="45"/>
  <c r="H22" i="45"/>
  <c r="I22" i="45"/>
  <c r="J22" i="45"/>
  <c r="K22" i="45"/>
  <c r="T20" i="45"/>
  <c r="AB19" i="45" a="1"/>
  <c r="AM19" i="45" a="1"/>
  <c r="X20" i="45"/>
  <c r="Q20" i="45"/>
  <c r="R20" i="45"/>
  <c r="W20" i="45"/>
  <c r="S20" i="45"/>
  <c r="U20" i="45"/>
  <c r="B24" i="45" l="1"/>
  <c r="P24" i="45"/>
  <c r="AA24" i="45" s="1"/>
  <c r="AL24" i="45" s="1"/>
  <c r="A24" i="56"/>
  <c r="C23" i="45"/>
  <c r="D23" i="45"/>
  <c r="E23" i="45"/>
  <c r="F23" i="45"/>
  <c r="I23" i="45"/>
  <c r="J23" i="45"/>
  <c r="K23" i="45"/>
  <c r="G23" i="45"/>
  <c r="H23" i="45"/>
  <c r="AB20" i="45" a="1"/>
  <c r="AM20" i="45" a="1"/>
  <c r="T21" i="45"/>
  <c r="U21" i="45"/>
  <c r="X21" i="45"/>
  <c r="Q21" i="45"/>
  <c r="R21" i="45"/>
  <c r="Y21" i="45"/>
  <c r="S21" i="45"/>
  <c r="V21" i="45"/>
  <c r="W21" i="45"/>
  <c r="W22" i="45" l="1"/>
  <c r="B25" i="45"/>
  <c r="P25" i="45"/>
  <c r="AA25" i="45" s="1"/>
  <c r="AL25" i="45" s="1"/>
  <c r="A25" i="56"/>
  <c r="D24" i="45"/>
  <c r="E24" i="45"/>
  <c r="F24" i="45"/>
  <c r="I24" i="45"/>
  <c r="J24" i="45"/>
  <c r="K24" i="45"/>
  <c r="C24" i="45"/>
  <c r="G24" i="45"/>
  <c r="H24" i="45"/>
  <c r="T23" i="45"/>
  <c r="AB21" i="45" a="1"/>
  <c r="AM21" i="45" a="1"/>
  <c r="Q22" i="45"/>
  <c r="R22" i="45"/>
  <c r="T22" i="45"/>
  <c r="X22" i="45"/>
  <c r="S22" i="45"/>
  <c r="U22" i="45"/>
  <c r="V22" i="45"/>
  <c r="Y22" i="45"/>
  <c r="V23" i="45" l="1"/>
  <c r="B26" i="45"/>
  <c r="P26" i="45"/>
  <c r="AA26" i="45" s="1"/>
  <c r="AL26" i="45" s="1"/>
  <c r="A26" i="56"/>
  <c r="C25" i="45"/>
  <c r="D25" i="45"/>
  <c r="F25" i="45"/>
  <c r="G25" i="45"/>
  <c r="I25" i="45"/>
  <c r="J25" i="45"/>
  <c r="K25" i="45"/>
  <c r="E25" i="45"/>
  <c r="H25" i="45"/>
  <c r="AB22" i="45" a="1"/>
  <c r="AM22" i="45" a="1"/>
  <c r="Q23" i="45"/>
  <c r="S23" i="45"/>
  <c r="X23" i="45"/>
  <c r="Y23" i="45"/>
  <c r="R23" i="45"/>
  <c r="W23" i="45"/>
  <c r="U23" i="45"/>
  <c r="Y24" i="45" l="1"/>
  <c r="B27" i="45"/>
  <c r="P27" i="45"/>
  <c r="AA27" i="45" s="1"/>
  <c r="AL27" i="45" s="1"/>
  <c r="A27" i="56"/>
  <c r="D26" i="45"/>
  <c r="E26" i="45"/>
  <c r="F26" i="45"/>
  <c r="G26" i="45"/>
  <c r="H26" i="45"/>
  <c r="I26" i="45"/>
  <c r="J26" i="45"/>
  <c r="K26" i="45"/>
  <c r="C26" i="45"/>
  <c r="T24" i="45"/>
  <c r="AB23" i="45" a="1"/>
  <c r="AM23" i="45" a="1"/>
  <c r="S24" i="45"/>
  <c r="U24" i="45"/>
  <c r="W24" i="45"/>
  <c r="Q24" i="45"/>
  <c r="R24" i="45"/>
  <c r="X24" i="45"/>
  <c r="V24" i="45"/>
  <c r="B28" i="45" l="1"/>
  <c r="P28" i="45"/>
  <c r="AA28" i="45" s="1"/>
  <c r="AL28" i="45" s="1"/>
  <c r="A28" i="56"/>
  <c r="D27" i="45"/>
  <c r="I27" i="45"/>
  <c r="J27" i="45"/>
  <c r="K27" i="45"/>
  <c r="C27" i="45"/>
  <c r="E27" i="45"/>
  <c r="F27" i="45"/>
  <c r="G27" i="45"/>
  <c r="H27" i="45"/>
  <c r="AB24" i="45" a="1"/>
  <c r="AM24" i="45" a="1"/>
  <c r="Y25" i="45"/>
  <c r="Q25" i="45"/>
  <c r="R25" i="45"/>
  <c r="S25" i="45"/>
  <c r="X25" i="45"/>
  <c r="V25" i="45"/>
  <c r="T25" i="45"/>
  <c r="U25" i="45"/>
  <c r="W25" i="45"/>
  <c r="Q26" i="45" l="1"/>
  <c r="B29" i="45"/>
  <c r="P29" i="45"/>
  <c r="AA29" i="45" s="1"/>
  <c r="AL29" i="45" s="1"/>
  <c r="A29" i="56"/>
  <c r="D28" i="45"/>
  <c r="F28" i="45"/>
  <c r="G28" i="45"/>
  <c r="I28" i="45"/>
  <c r="J28" i="45"/>
  <c r="K28" i="45"/>
  <c r="C28" i="45"/>
  <c r="E28" i="45"/>
  <c r="H28" i="45"/>
  <c r="AB25" i="45" a="1"/>
  <c r="AM25" i="45" a="1"/>
  <c r="U26" i="45"/>
  <c r="R26" i="45"/>
  <c r="V26" i="45"/>
  <c r="W26" i="45"/>
  <c r="X26" i="45"/>
  <c r="S26" i="45"/>
  <c r="T26" i="45"/>
  <c r="Y26" i="45"/>
  <c r="B30" i="45" l="1"/>
  <c r="P30" i="45"/>
  <c r="AA30" i="45" s="1"/>
  <c r="AL30" i="45" s="1"/>
  <c r="A30" i="56"/>
  <c r="C29" i="45"/>
  <c r="D29" i="45"/>
  <c r="E29" i="45"/>
  <c r="H29" i="45"/>
  <c r="I29" i="45"/>
  <c r="J29" i="45"/>
  <c r="K29" i="45"/>
  <c r="F29" i="45"/>
  <c r="G29" i="45"/>
  <c r="Q27" i="45"/>
  <c r="R27" i="45"/>
  <c r="W27" i="45"/>
  <c r="X27" i="45"/>
  <c r="Y27" i="45"/>
  <c r="S27" i="45"/>
  <c r="T27" i="45"/>
  <c r="V27" i="45"/>
  <c r="U27" i="45"/>
  <c r="AM26" i="45" a="1"/>
  <c r="AB26" i="45" a="1"/>
  <c r="T28" i="45" l="1"/>
  <c r="B31" i="45"/>
  <c r="P31" i="45"/>
  <c r="AA31" i="45" s="1"/>
  <c r="AL31" i="45" s="1"/>
  <c r="A31" i="56"/>
  <c r="D30" i="45"/>
  <c r="E30" i="45"/>
  <c r="F30" i="45"/>
  <c r="G30" i="45"/>
  <c r="I30" i="45"/>
  <c r="J30" i="45"/>
  <c r="K30" i="45"/>
  <c r="C30" i="45"/>
  <c r="H30" i="45"/>
  <c r="AB27" i="45" a="1"/>
  <c r="AM27" i="45" a="1"/>
  <c r="R28" i="45"/>
  <c r="U28" i="45"/>
  <c r="W28" i="45"/>
  <c r="X28" i="45"/>
  <c r="Y28" i="45"/>
  <c r="S28" i="45"/>
  <c r="Q28" i="45"/>
  <c r="V28" i="45"/>
  <c r="B32" i="45" l="1"/>
  <c r="P32" i="45"/>
  <c r="AA32" i="45" s="1"/>
  <c r="AL32" i="45" s="1"/>
  <c r="A32" i="56"/>
  <c r="D31" i="45"/>
  <c r="F31" i="45"/>
  <c r="H31" i="45"/>
  <c r="I31" i="45"/>
  <c r="J31" i="45"/>
  <c r="K31" i="45"/>
  <c r="C31" i="45"/>
  <c r="E31" i="45"/>
  <c r="G31" i="45"/>
  <c r="AB28" i="45" a="1"/>
  <c r="AM28" i="45" a="1"/>
  <c r="Q29" i="45"/>
  <c r="R29" i="45"/>
  <c r="S29" i="45"/>
  <c r="V29" i="45"/>
  <c r="W29" i="45"/>
  <c r="X29" i="45"/>
  <c r="T29" i="45"/>
  <c r="U29" i="45"/>
  <c r="Y29" i="45"/>
  <c r="R30" i="45" l="1"/>
  <c r="B33" i="45"/>
  <c r="P33" i="45"/>
  <c r="AA33" i="45" s="1"/>
  <c r="AL33" i="45" s="1"/>
  <c r="A33" i="56"/>
  <c r="C32" i="45"/>
  <c r="D32" i="45"/>
  <c r="F32" i="45"/>
  <c r="I32" i="45"/>
  <c r="J32" i="45"/>
  <c r="K32" i="45"/>
  <c r="E32" i="45"/>
  <c r="G32" i="45"/>
  <c r="H32" i="45"/>
  <c r="AB29" i="45" a="1"/>
  <c r="AM29" i="45" a="1"/>
  <c r="S30" i="45"/>
  <c r="W30" i="45"/>
  <c r="T30" i="45"/>
  <c r="U30" i="45"/>
  <c r="X30" i="45"/>
  <c r="Y30" i="45"/>
  <c r="Q30" i="45"/>
  <c r="V30" i="45"/>
  <c r="R31" i="45" l="1"/>
  <c r="X31" i="45"/>
  <c r="B34" i="45"/>
  <c r="P34" i="45"/>
  <c r="AA34" i="45" s="1"/>
  <c r="AL34" i="45" s="1"/>
  <c r="A34" i="56"/>
  <c r="C33" i="45"/>
  <c r="D33" i="45"/>
  <c r="E33" i="45"/>
  <c r="F33" i="45"/>
  <c r="G33" i="45"/>
  <c r="H33" i="45"/>
  <c r="I33" i="45"/>
  <c r="J33" i="45"/>
  <c r="K33" i="45"/>
  <c r="AB30" i="45" a="1"/>
  <c r="AM30" i="45" a="1"/>
  <c r="T31" i="45"/>
  <c r="V31" i="45"/>
  <c r="W31" i="45"/>
  <c r="Y31" i="45"/>
  <c r="Q31" i="45"/>
  <c r="S31" i="45"/>
  <c r="U31" i="45"/>
  <c r="Q32" i="45" l="1"/>
  <c r="B35" i="45"/>
  <c r="P35" i="45"/>
  <c r="AA35" i="45" s="1"/>
  <c r="AL35" i="45" s="1"/>
  <c r="A35" i="56"/>
  <c r="D34" i="45"/>
  <c r="E34" i="45"/>
  <c r="F34" i="45"/>
  <c r="G34" i="45"/>
  <c r="H34" i="45"/>
  <c r="I34" i="45"/>
  <c r="J34" i="45"/>
  <c r="K34" i="45"/>
  <c r="C34" i="45"/>
  <c r="U33" i="45"/>
  <c r="AB31" i="45" a="1"/>
  <c r="AM31" i="45" a="1"/>
  <c r="R32" i="45"/>
  <c r="X32" i="45"/>
  <c r="T32" i="45"/>
  <c r="W32" i="45"/>
  <c r="Y32" i="45"/>
  <c r="S32" i="45"/>
  <c r="U32" i="45"/>
  <c r="V32" i="45"/>
  <c r="B36" i="45" l="1"/>
  <c r="P36" i="45"/>
  <c r="AA36" i="45" s="1"/>
  <c r="AL36" i="45" s="1"/>
  <c r="A36" i="56"/>
  <c r="C35" i="45"/>
  <c r="D35" i="45"/>
  <c r="E35" i="45"/>
  <c r="F35" i="45"/>
  <c r="G35" i="45"/>
  <c r="H35" i="45"/>
  <c r="I35" i="45"/>
  <c r="J35" i="45"/>
  <c r="K35" i="45"/>
  <c r="Q33" i="45"/>
  <c r="R33" i="45"/>
  <c r="S33" i="45"/>
  <c r="T33" i="45"/>
  <c r="X33" i="45"/>
  <c r="V33" i="45"/>
  <c r="W33" i="45"/>
  <c r="Y33" i="45"/>
  <c r="AM32" i="45" a="1"/>
  <c r="AB32" i="45" a="1"/>
  <c r="R34" i="45" l="1"/>
  <c r="W34" i="45"/>
  <c r="B37" i="45"/>
  <c r="P37" i="45"/>
  <c r="AA37" i="45" s="1"/>
  <c r="AL37" i="45" s="1"/>
  <c r="A37" i="56"/>
  <c r="C36" i="45"/>
  <c r="D36" i="45"/>
  <c r="E36" i="45"/>
  <c r="F36" i="45"/>
  <c r="G36" i="45"/>
  <c r="H36" i="45"/>
  <c r="I36" i="45"/>
  <c r="J36" i="45"/>
  <c r="K36" i="45"/>
  <c r="AB33" i="45" a="1"/>
  <c r="AM33" i="45" a="1"/>
  <c r="S34" i="45"/>
  <c r="Q34" i="45"/>
  <c r="T34" i="45"/>
  <c r="U34" i="45"/>
  <c r="V34" i="45"/>
  <c r="X34" i="45"/>
  <c r="Y34" i="45"/>
  <c r="B38" i="45" l="1"/>
  <c r="P38" i="45"/>
  <c r="AA38" i="45" s="1"/>
  <c r="AL38" i="45" s="1"/>
  <c r="A38" i="56"/>
  <c r="C37" i="45"/>
  <c r="D37" i="45"/>
  <c r="E37" i="45"/>
  <c r="F37" i="45"/>
  <c r="G37" i="45"/>
  <c r="H37" i="45"/>
  <c r="I37" i="45"/>
  <c r="J37" i="45"/>
  <c r="K37" i="45"/>
  <c r="AB34" i="45" a="1"/>
  <c r="AM34" i="45" a="1"/>
  <c r="Q35" i="45"/>
  <c r="U35" i="45"/>
  <c r="R35" i="45"/>
  <c r="T35" i="45"/>
  <c r="S35" i="45"/>
  <c r="V35" i="45"/>
  <c r="W35" i="45"/>
  <c r="X35" i="45"/>
  <c r="Y35" i="45"/>
  <c r="B39" i="45" l="1"/>
  <c r="P39" i="45"/>
  <c r="AA39" i="45" s="1"/>
  <c r="AL39" i="45" s="1"/>
  <c r="A39" i="56"/>
  <c r="C38" i="45"/>
  <c r="D38" i="45"/>
  <c r="E38" i="45"/>
  <c r="F38" i="45"/>
  <c r="G38" i="45"/>
  <c r="H38" i="45"/>
  <c r="I38" i="45"/>
  <c r="J38" i="45"/>
  <c r="K38" i="45"/>
  <c r="AB35" i="45" a="1"/>
  <c r="AM35" i="45" a="1"/>
  <c r="R36" i="45"/>
  <c r="T36" i="45"/>
  <c r="U36" i="45"/>
  <c r="W36" i="45"/>
  <c r="X36" i="45"/>
  <c r="Y36" i="45"/>
  <c r="Q36" i="45"/>
  <c r="S36" i="45"/>
  <c r="V36" i="45"/>
  <c r="B40" i="45" l="1"/>
  <c r="P40" i="45"/>
  <c r="AA40" i="45" s="1"/>
  <c r="AL40" i="45" s="1"/>
  <c r="A40" i="56"/>
  <c r="C39" i="45"/>
  <c r="D39" i="45"/>
  <c r="E39" i="45"/>
  <c r="F39" i="45"/>
  <c r="G39" i="45"/>
  <c r="H39" i="45"/>
  <c r="I39" i="45"/>
  <c r="J39" i="45"/>
  <c r="K39" i="45"/>
  <c r="AB36" i="45" a="1"/>
  <c r="AM36" i="45" a="1"/>
  <c r="R37" i="45"/>
  <c r="T37" i="45"/>
  <c r="W37" i="45"/>
  <c r="X37" i="45"/>
  <c r="Y37" i="45"/>
  <c r="Q37" i="45"/>
  <c r="S37" i="45"/>
  <c r="U37" i="45"/>
  <c r="V37" i="45"/>
  <c r="B41" i="45" l="1"/>
  <c r="P41" i="45"/>
  <c r="AA41" i="45" s="1"/>
  <c r="AL41" i="45" s="1"/>
  <c r="A41" i="56"/>
  <c r="C40" i="45"/>
  <c r="D40" i="45"/>
  <c r="E40" i="45"/>
  <c r="F40" i="45"/>
  <c r="G40" i="45"/>
  <c r="H40" i="45"/>
  <c r="I40" i="45"/>
  <c r="J40" i="45"/>
  <c r="K40" i="45"/>
  <c r="AB37" i="45" a="1"/>
  <c r="AM37" i="45" a="1"/>
  <c r="Q38" i="45"/>
  <c r="R38" i="45"/>
  <c r="S38" i="45"/>
  <c r="T38" i="45"/>
  <c r="W38" i="45"/>
  <c r="X38" i="45"/>
  <c r="Y38" i="45"/>
  <c r="U38" i="45"/>
  <c r="V38" i="45"/>
  <c r="R39" i="45" l="1"/>
  <c r="V39" i="45"/>
  <c r="U39" i="45"/>
  <c r="T39" i="45"/>
  <c r="B42" i="45"/>
  <c r="P42" i="45"/>
  <c r="AA42" i="45" s="1"/>
  <c r="AL42" i="45" s="1"/>
  <c r="A42" i="56"/>
  <c r="C41" i="45"/>
  <c r="D41" i="45"/>
  <c r="E41" i="45"/>
  <c r="F41" i="45"/>
  <c r="G41" i="45"/>
  <c r="H41" i="45"/>
  <c r="I41" i="45"/>
  <c r="J41" i="45"/>
  <c r="K41" i="45"/>
  <c r="R40" i="45"/>
  <c r="AB38" i="45" a="1"/>
  <c r="AM38" i="45" a="1"/>
  <c r="Y39" i="45"/>
  <c r="W39" i="45"/>
  <c r="X39" i="45"/>
  <c r="Q39" i="45"/>
  <c r="S39" i="45"/>
  <c r="S40" i="45" l="1"/>
  <c r="C42" i="45"/>
  <c r="D42" i="45"/>
  <c r="E42" i="45"/>
  <c r="F42" i="45"/>
  <c r="G42" i="45"/>
  <c r="H42" i="45"/>
  <c r="I42" i="45"/>
  <c r="J42" i="45"/>
  <c r="K42" i="45"/>
  <c r="T40" i="45"/>
  <c r="AB39" i="45" a="1"/>
  <c r="AM39" i="45" a="1"/>
  <c r="X40" i="45"/>
  <c r="Y40" i="45"/>
  <c r="Q40" i="45"/>
  <c r="U40" i="45"/>
  <c r="V40" i="45"/>
  <c r="W40" i="45"/>
  <c r="W41" i="45" l="1"/>
  <c r="Y41" i="45"/>
  <c r="T41" i="45"/>
  <c r="P6" i="77"/>
  <c r="D65" i="76"/>
  <c r="Q6" i="77"/>
  <c r="E65" i="76"/>
  <c r="R6" i="77"/>
  <c r="F65" i="76"/>
  <c r="N6" i="77"/>
  <c r="X6" i="77"/>
  <c r="D6" i="77" s="1"/>
  <c r="O6" i="77" s="1"/>
  <c r="G65" i="76"/>
  <c r="K2" i="56" a="1"/>
  <c r="E6" i="77"/>
  <c r="V6" i="77"/>
  <c r="W6" i="77" s="1"/>
  <c r="I65" i="76"/>
  <c r="P8" i="77"/>
  <c r="D67" i="76"/>
  <c r="Q8" i="77"/>
  <c r="E67" i="76"/>
  <c r="F67" i="76"/>
  <c r="R8" i="77"/>
  <c r="X8" i="77"/>
  <c r="D8" i="77" s="1"/>
  <c r="O8" i="77" s="1"/>
  <c r="N8" i="77"/>
  <c r="G67" i="76"/>
  <c r="E8" i="77"/>
  <c r="V8" i="77"/>
  <c r="W8" i="77" s="1"/>
  <c r="I67" i="76"/>
  <c r="P11" i="77"/>
  <c r="D70" i="76"/>
  <c r="Q11" i="77"/>
  <c r="E70" i="76"/>
  <c r="R11" i="77"/>
  <c r="F70" i="76"/>
  <c r="N11" i="77"/>
  <c r="X11" i="77"/>
  <c r="D11" i="77" s="1"/>
  <c r="O11" i="77" s="1"/>
  <c r="G70" i="76"/>
  <c r="E11" i="77"/>
  <c r="V11" i="77"/>
  <c r="W11" i="77" s="1"/>
  <c r="I70" i="76"/>
  <c r="P12" i="77"/>
  <c r="D71" i="76"/>
  <c r="Q12" i="77"/>
  <c r="E71" i="76"/>
  <c r="R12" i="77"/>
  <c r="F71" i="76"/>
  <c r="N12" i="77"/>
  <c r="X12" i="77"/>
  <c r="D12" i="77" s="1"/>
  <c r="O12" i="77" s="1"/>
  <c r="G71" i="76"/>
  <c r="E12" i="77"/>
  <c r="V12" i="77"/>
  <c r="W12" i="77" s="1"/>
  <c r="I71" i="76"/>
  <c r="P13" i="77"/>
  <c r="D72" i="76"/>
  <c r="Q13" i="77"/>
  <c r="E72" i="76"/>
  <c r="R13" i="77"/>
  <c r="F72" i="76"/>
  <c r="N13" i="77"/>
  <c r="X13" i="77"/>
  <c r="D13" i="77" s="1"/>
  <c r="O13" i="77" s="1"/>
  <c r="G72" i="76"/>
  <c r="E13" i="77"/>
  <c r="V13" i="77"/>
  <c r="W13" i="77" s="1"/>
  <c r="I72" i="76"/>
  <c r="P5" i="77"/>
  <c r="Q16" i="77" s="1"/>
  <c r="D64" i="76"/>
  <c r="D5" i="75"/>
  <c r="Q5" i="77"/>
  <c r="E64" i="76"/>
  <c r="D6" i="75"/>
  <c r="R5" i="77"/>
  <c r="F64" i="76"/>
  <c r="D7" i="75"/>
  <c r="N5" i="77"/>
  <c r="X5" i="77"/>
  <c r="D5" i="77" s="1"/>
  <c r="O5" i="77" s="1"/>
  <c r="D8" i="75"/>
  <c r="E5" i="77"/>
  <c r="I64" i="76"/>
  <c r="V5" i="77"/>
  <c r="P7" i="77"/>
  <c r="D66" i="76"/>
  <c r="Q7" i="77"/>
  <c r="E66" i="76"/>
  <c r="R7" i="77"/>
  <c r="F66" i="76"/>
  <c r="N7" i="77"/>
  <c r="X7" i="77"/>
  <c r="D7" i="77" s="1"/>
  <c r="O7" i="77" s="1"/>
  <c r="G66" i="76"/>
  <c r="E7" i="77"/>
  <c r="I66" i="76"/>
  <c r="V7" i="77"/>
  <c r="W7" i="77" s="1"/>
  <c r="P9" i="77"/>
  <c r="D68" i="76"/>
  <c r="Q9" i="77"/>
  <c r="E68" i="76"/>
  <c r="F68" i="76"/>
  <c r="R9" i="77"/>
  <c r="X9" i="77"/>
  <c r="D9" i="77" s="1"/>
  <c r="O9" i="77" s="1"/>
  <c r="N9" i="77"/>
  <c r="G68" i="76"/>
  <c r="E9" i="77"/>
  <c r="V9" i="77"/>
  <c r="W9" i="77" s="1"/>
  <c r="I68" i="76"/>
  <c r="P10" i="77"/>
  <c r="D69" i="76"/>
  <c r="Q10" i="77"/>
  <c r="E69" i="76"/>
  <c r="R10" i="77"/>
  <c r="F69" i="76"/>
  <c r="N10" i="77"/>
  <c r="X10" i="77"/>
  <c r="D10" i="77" s="1"/>
  <c r="O10" i="77" s="1"/>
  <c r="G69" i="76"/>
  <c r="E10" i="77"/>
  <c r="V10" i="77"/>
  <c r="W10" i="77" s="1"/>
  <c r="I69" i="76"/>
  <c r="AB40" i="45" a="1"/>
  <c r="AM40" i="45" a="1"/>
  <c r="R41" i="45"/>
  <c r="U41" i="45"/>
  <c r="Q41" i="45"/>
  <c r="X41" i="45"/>
  <c r="S41" i="45"/>
  <c r="V41" i="45"/>
  <c r="I2" i="56" l="1" a="1"/>
  <c r="H65" i="76"/>
  <c r="J65" i="76" s="1"/>
  <c r="R42" i="45"/>
  <c r="H67" i="76"/>
  <c r="J67" i="76" s="1"/>
  <c r="T42" i="45"/>
  <c r="H70" i="76"/>
  <c r="J70" i="76" s="1"/>
  <c r="W42" i="45"/>
  <c r="H71" i="76"/>
  <c r="J71" i="76" s="1"/>
  <c r="X42" i="45"/>
  <c r="H72" i="76"/>
  <c r="J72" i="76" s="1"/>
  <c r="Y42" i="45"/>
  <c r="D9" i="75"/>
  <c r="H64" i="76"/>
  <c r="J64" i="76" s="1"/>
  <c r="Q42" i="45"/>
  <c r="W5" i="77"/>
  <c r="P16" i="77"/>
  <c r="H66" i="76"/>
  <c r="J66" i="76" s="1"/>
  <c r="S42" i="45"/>
  <c r="H68" i="76"/>
  <c r="J68" i="76" s="1"/>
  <c r="U42" i="45"/>
  <c r="H69" i="76"/>
  <c r="J69" i="76" s="1"/>
  <c r="V42" i="45"/>
  <c r="AB41" i="45" a="1"/>
  <c r="AM41" i="45" a="1"/>
  <c r="P5" i="56" l="1"/>
  <c r="P6" i="56"/>
  <c r="H7" i="56"/>
  <c r="J7" i="56" s="1"/>
  <c r="H8" i="56"/>
  <c r="J8" i="56" s="1"/>
  <c r="P8" i="56"/>
  <c r="O9" i="56"/>
  <c r="H10" i="56"/>
  <c r="J10" i="56" s="1"/>
  <c r="P10" i="56"/>
  <c r="O11" i="56"/>
  <c r="H12" i="56"/>
  <c r="J12" i="56" s="1"/>
  <c r="P12" i="56"/>
  <c r="P13" i="56"/>
  <c r="O14" i="56"/>
  <c r="P14" i="56"/>
  <c r="O15" i="56"/>
  <c r="H16" i="56"/>
  <c r="J16" i="56" s="1"/>
  <c r="H17" i="56"/>
  <c r="J17" i="56" s="1"/>
  <c r="P17" i="56"/>
  <c r="O18" i="56"/>
  <c r="H19" i="56"/>
  <c r="J19" i="56" s="1"/>
  <c r="P19" i="56"/>
  <c r="H20" i="56"/>
  <c r="J20" i="56" s="1"/>
  <c r="O21" i="56"/>
  <c r="H22" i="56"/>
  <c r="J22" i="56" s="1"/>
  <c r="H6" i="56"/>
  <c r="J6" i="56" s="1"/>
  <c r="O6" i="56"/>
  <c r="O7" i="56"/>
  <c r="P7" i="56"/>
  <c r="O8" i="56"/>
  <c r="H9" i="56"/>
  <c r="J9" i="56" s="1"/>
  <c r="P9" i="56"/>
  <c r="O10" i="56"/>
  <c r="H11" i="56"/>
  <c r="J11" i="56" s="1"/>
  <c r="P11" i="56"/>
  <c r="O12" i="56"/>
  <c r="H13" i="56"/>
  <c r="J13" i="56" s="1"/>
  <c r="O13" i="56"/>
  <c r="H14" i="56"/>
  <c r="J14" i="56" s="1"/>
  <c r="H15" i="56"/>
  <c r="J15" i="56" s="1"/>
  <c r="P15" i="56"/>
  <c r="O16" i="56"/>
  <c r="P16" i="56"/>
  <c r="O17" i="56"/>
  <c r="H18" i="56"/>
  <c r="J18" i="56" s="1"/>
  <c r="P18" i="56"/>
  <c r="O19" i="56"/>
  <c r="O20" i="56"/>
  <c r="H21" i="56"/>
  <c r="J21" i="56" s="1"/>
  <c r="P21" i="56"/>
  <c r="P20" i="56"/>
  <c r="O2" i="56"/>
  <c r="P2" i="56"/>
  <c r="H3" i="56"/>
  <c r="J3" i="56" s="1"/>
  <c r="O3" i="56"/>
  <c r="P3" i="56"/>
  <c r="H4" i="56"/>
  <c r="J4" i="56" s="1"/>
  <c r="O4" i="56"/>
  <c r="P4" i="56"/>
  <c r="H5" i="56"/>
  <c r="J5" i="56" s="1"/>
  <c r="O5" i="56"/>
  <c r="O22" i="56"/>
  <c r="P22" i="56"/>
  <c r="H23" i="56"/>
  <c r="J23" i="56" s="1"/>
  <c r="O23" i="56"/>
  <c r="P23" i="56"/>
  <c r="H24" i="56"/>
  <c r="J24" i="56" s="1"/>
  <c r="O24" i="56"/>
  <c r="P24" i="56"/>
  <c r="H25" i="56"/>
  <c r="J25" i="56" s="1"/>
  <c r="O25" i="56"/>
  <c r="P25" i="56"/>
  <c r="H26" i="56"/>
  <c r="J26" i="56" s="1"/>
  <c r="O26" i="56"/>
  <c r="P26" i="56"/>
  <c r="H27" i="56"/>
  <c r="J27" i="56" s="1"/>
  <c r="O27" i="56"/>
  <c r="P27" i="56"/>
  <c r="H28" i="56"/>
  <c r="J28" i="56" s="1"/>
  <c r="O28" i="56"/>
  <c r="P28" i="56"/>
  <c r="H29" i="56"/>
  <c r="J29" i="56" s="1"/>
  <c r="O29" i="56"/>
  <c r="P29" i="56"/>
  <c r="H30" i="56"/>
  <c r="J30" i="56" s="1"/>
  <c r="O30" i="56"/>
  <c r="P30" i="56"/>
  <c r="H31" i="56"/>
  <c r="J31" i="56" s="1"/>
  <c r="O31" i="56"/>
  <c r="P31" i="56"/>
  <c r="H32" i="56"/>
  <c r="J32" i="56" s="1"/>
  <c r="O32" i="56"/>
  <c r="P32" i="56"/>
  <c r="H33" i="56"/>
  <c r="J33" i="56" s="1"/>
  <c r="O33" i="56"/>
  <c r="P33" i="56"/>
  <c r="H34" i="56"/>
  <c r="J34" i="56" s="1"/>
  <c r="O34" i="56"/>
  <c r="P34" i="56"/>
  <c r="H35" i="56"/>
  <c r="J35" i="56" s="1"/>
  <c r="O35" i="56"/>
  <c r="P35" i="56"/>
  <c r="H36" i="56"/>
  <c r="J36" i="56" s="1"/>
  <c r="O36" i="56"/>
  <c r="O39" i="56"/>
  <c r="H40" i="56"/>
  <c r="J40" i="56" s="1"/>
  <c r="P40" i="56"/>
  <c r="O41" i="56"/>
  <c r="H42" i="56"/>
  <c r="J42" i="56" s="1"/>
  <c r="P42" i="56"/>
  <c r="P36" i="56"/>
  <c r="H37" i="56"/>
  <c r="J37" i="56" s="1"/>
  <c r="O37" i="56"/>
  <c r="P37" i="56"/>
  <c r="H38" i="56"/>
  <c r="J38" i="56" s="1"/>
  <c r="O38" i="56"/>
  <c r="P38" i="56"/>
  <c r="H39" i="56"/>
  <c r="J39" i="56" s="1"/>
  <c r="P39" i="56"/>
  <c r="O40" i="56"/>
  <c r="H41" i="56"/>
  <c r="J41" i="56" s="1"/>
  <c r="P41" i="56"/>
  <c r="O42" i="56"/>
  <c r="H2" i="56"/>
  <c r="J2" i="56" s="1"/>
  <c r="K69" i="76"/>
  <c r="AB42" i="45" a="1"/>
  <c r="AM42" i="45" a="1"/>
  <c r="Q17" i="77"/>
  <c r="R16" i="77"/>
  <c r="R17" i="77" s="1"/>
  <c r="P17" i="77" a="1"/>
  <c r="K70" i="76"/>
  <c r="K71" i="76"/>
  <c r="K72" i="76"/>
  <c r="K64" i="76"/>
  <c r="K68" i="76"/>
  <c r="K65" i="76"/>
  <c r="K67" i="76"/>
  <c r="K66" i="76"/>
  <c r="N64" i="76" l="1"/>
  <c r="N65" i="76"/>
  <c r="N66" i="76"/>
  <c r="N67" i="76"/>
  <c r="N68" i="76"/>
  <c r="N69" i="76"/>
  <c r="N70" i="76"/>
  <c r="N71" i="76"/>
  <c r="N72" i="76"/>
  <c r="O64" i="76" l="1"/>
  <c r="P64" i="76"/>
  <c r="Q64" i="76"/>
  <c r="R64" i="76"/>
  <c r="S64" i="76"/>
  <c r="T64" i="76"/>
  <c r="O65" i="76"/>
  <c r="P65" i="76"/>
  <c r="Q65" i="76"/>
  <c r="R65" i="76"/>
  <c r="S65" i="76"/>
  <c r="T65" i="76"/>
  <c r="O66" i="76"/>
  <c r="P66" i="76"/>
  <c r="Q66" i="76"/>
  <c r="R66" i="76"/>
  <c r="S66" i="76"/>
  <c r="T66" i="76"/>
  <c r="O67" i="76"/>
  <c r="P67" i="76"/>
  <c r="Q67" i="76"/>
  <c r="R67" i="76"/>
  <c r="S67" i="76"/>
  <c r="T67" i="76"/>
  <c r="O68" i="76"/>
  <c r="P68" i="76"/>
  <c r="Q68" i="76"/>
  <c r="R68" i="76"/>
  <c r="S68" i="76"/>
  <c r="T68" i="76"/>
  <c r="O69" i="76"/>
  <c r="P69" i="76"/>
  <c r="Q69" i="76"/>
  <c r="R69" i="76"/>
  <c r="S69" i="76"/>
  <c r="T69" i="76"/>
  <c r="O70" i="76"/>
  <c r="P70" i="76"/>
  <c r="Q70" i="76"/>
  <c r="R70" i="76"/>
  <c r="S70" i="76"/>
  <c r="T70" i="76"/>
  <c r="O71" i="76"/>
  <c r="P71" i="76"/>
  <c r="Q71" i="76"/>
  <c r="R71" i="76"/>
  <c r="S71" i="76"/>
  <c r="T71" i="76"/>
  <c r="O72" i="76"/>
  <c r="P72" i="76"/>
  <c r="Q72" i="76"/>
  <c r="R72" i="76"/>
  <c r="S72" i="76"/>
  <c r="T72" i="7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<sst xmlns="http://schemas.openxmlformats.org/spreadsheetml/2006/main" count="590" uniqueCount="114">
  <si>
    <t>Årsavslutning 2023-2024 sesongen Skorgen Tippelag</t>
  </si>
  <si>
    <t>ST Medlemmer</t>
  </si>
  <si>
    <t>Poeng</t>
  </si>
  <si>
    <t>Rang</t>
  </si>
  <si>
    <t>PoengAntall</t>
  </si>
  <si>
    <t>Straff</t>
  </si>
  <si>
    <t>Rangering</t>
  </si>
  <si>
    <t>Hjemmepoeng</t>
  </si>
  <si>
    <t>Uavgjortpoeng</t>
  </si>
  <si>
    <t>Bortepoeng</t>
  </si>
  <si>
    <t>Hjemmetreff</t>
  </si>
  <si>
    <t>Uavgjorttreff</t>
  </si>
  <si>
    <t>Bortetreff</t>
  </si>
  <si>
    <t>Antalll koponger</t>
  </si>
  <si>
    <t>Poengtap</t>
  </si>
  <si>
    <t>straff</t>
  </si>
  <si>
    <t>hp</t>
  </si>
  <si>
    <t>up</t>
  </si>
  <si>
    <t>bp</t>
  </si>
  <si>
    <t>AHH</t>
  </si>
  <si>
    <t>RB</t>
  </si>
  <si>
    <t>EB</t>
  </si>
  <si>
    <t>KAF</t>
  </si>
  <si>
    <t>ØG</t>
  </si>
  <si>
    <t>JH</t>
  </si>
  <si>
    <t>TOH</t>
  </si>
  <si>
    <t>UTG</t>
  </si>
  <si>
    <t>LEV</t>
  </si>
  <si>
    <t>Max poeng</t>
  </si>
  <si>
    <t>Poenghøst</t>
  </si>
  <si>
    <t>%</t>
  </si>
  <si>
    <t>All Time High</t>
  </si>
  <si>
    <t>Ukens Jumbo</t>
  </si>
  <si>
    <t>H</t>
  </si>
  <si>
    <t>U</t>
  </si>
  <si>
    <t>B</t>
  </si>
  <si>
    <t>Antall</t>
  </si>
  <si>
    <t>Dato</t>
  </si>
  <si>
    <t>Treff</t>
  </si>
  <si>
    <t>%-treff</t>
  </si>
  <si>
    <t>lev</t>
  </si>
  <si>
    <t>Leverte</t>
  </si>
  <si>
    <t>Gjennomsnitt</t>
  </si>
  <si>
    <t>Oppnådd:</t>
  </si>
  <si>
    <t>Rang1</t>
  </si>
  <si>
    <t>Rang 2</t>
  </si>
  <si>
    <t>Analyse</t>
  </si>
  <si>
    <t>Under utvikling!</t>
  </si>
  <si>
    <t>Tippemedlemmenes innbyrdes rangering</t>
  </si>
  <si>
    <t>tp</t>
  </si>
  <si>
    <t>Rank</t>
  </si>
  <si>
    <t>Rank1</t>
  </si>
  <si>
    <t>Rank2</t>
  </si>
  <si>
    <t>Snitt Rank</t>
  </si>
  <si>
    <t>f_ahh</t>
  </si>
  <si>
    <t>f_rb</t>
  </si>
  <si>
    <t>f_eb</t>
  </si>
  <si>
    <t>f_kaf</t>
  </si>
  <si>
    <t>f_øg</t>
  </si>
  <si>
    <t>f_jh</t>
  </si>
  <si>
    <t>f_toh</t>
  </si>
  <si>
    <t>f_utg</t>
  </si>
  <si>
    <t>f_lev</t>
  </si>
  <si>
    <t>År</t>
  </si>
  <si>
    <t>ahh</t>
  </si>
  <si>
    <t>rb</t>
  </si>
  <si>
    <t>eb</t>
  </si>
  <si>
    <t>kaf</t>
  </si>
  <si>
    <t>øg</t>
  </si>
  <si>
    <t>jh</t>
  </si>
  <si>
    <t>toh</t>
  </si>
  <si>
    <t>utg</t>
  </si>
  <si>
    <t>Ukens Vinner</t>
  </si>
  <si>
    <t>Dynamisk graf TP</t>
  </si>
  <si>
    <t>Dynamisk graf Plassering</t>
  </si>
  <si>
    <t>Rank graf</t>
  </si>
  <si>
    <t>Sum graf</t>
  </si>
  <si>
    <t>Sheetlist</t>
  </si>
  <si>
    <t>All Time High 2025</t>
  </si>
  <si>
    <t>All time high 2024</t>
  </si>
  <si>
    <t>All time high 2023</t>
  </si>
  <si>
    <t>All time high 2022</t>
  </si>
  <si>
    <t>All Time High 2021</t>
  </si>
  <si>
    <t>All time high 2020</t>
  </si>
  <si>
    <t>All time high 2019</t>
  </si>
  <si>
    <t>All time high 2018</t>
  </si>
  <si>
    <t>All time high 2017</t>
  </si>
  <si>
    <t>All time high 2016</t>
  </si>
  <si>
    <t>All time high 2015</t>
  </si>
  <si>
    <t>All time high 2014</t>
  </si>
  <si>
    <t>All time high 2013</t>
  </si>
  <si>
    <t>All time high 2012</t>
  </si>
  <si>
    <t>All time high 2011</t>
  </si>
  <si>
    <t>All time high 2010</t>
  </si>
  <si>
    <t>Straffepoeng</t>
  </si>
  <si>
    <t>TotalePoeng</t>
  </si>
  <si>
    <t>LB</t>
  </si>
  <si>
    <t>Tippere</t>
  </si>
  <si>
    <t>Navn</t>
  </si>
  <si>
    <t>Totalt</t>
  </si>
  <si>
    <t>2010 - 2025 årlige ATH</t>
  </si>
  <si>
    <t>Antall årlige ATH</t>
  </si>
  <si>
    <t>Høyeste Årlige ATH</t>
  </si>
  <si>
    <t>BLT</t>
  </si>
  <si>
    <t>Høyest poengsum</t>
  </si>
  <si>
    <t>All time High sortert</t>
  </si>
  <si>
    <t>Summert</t>
  </si>
  <si>
    <t>12 Antall</t>
  </si>
  <si>
    <t>11 Antall</t>
  </si>
  <si>
    <t>10 Antall</t>
  </si>
  <si>
    <t>12 poeng</t>
  </si>
  <si>
    <t>11 poeng</t>
  </si>
  <si>
    <t>10 poeng</t>
  </si>
  <si>
    <t>LEV-Poeng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</si>
</sst>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0.0"/>
    <numFmt numFmtId="166" formatCode="0;;;"/>
    <numFmt numFmtId="167" formatCode="_-* #,##0_-;\-* #,##0_-;_-* &quot;-&quot;??_-;_-@_-"/>
    <numFmt numFmtId="168" formatCode="0;;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b/>
      <sz val="10"/>
      <color rgb="FFC00000"/>
      <name val="Arial"/>
      <family val="2"/>
    </font>
    <font>
      <b/>
      <u/>
      <sz val="12"/>
      <color rgb="FFFF0000"/>
      <name val="Arial"/>
      <family val="2"/>
    </font>
    <font>
      <b/>
      <sz val="20"/>
      <name val="Arial"/>
      <family val="2"/>
    </font>
    <font>
      <sz val="12"/>
      <name val="Consolas"/>
      <family val="3"/>
    </font>
    <font>
      <sz val="12"/>
      <color theme="0"/>
      <name val="Consolas"/>
      <family val="3"/>
    </font>
    <font>
      <sz val="10"/>
      <color rgb="FF002060"/>
      <name val="Arial"/>
      <family val="2"/>
    </font>
    <font>
      <i/>
      <u/>
      <sz val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9">
    <xf numFmtId="0" fontId="0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164" fontId="5" fillId="0" borderId="0" applyFont="0" applyFill="0" applyBorder="0" applyAlignment="0" applyProtection="0"/>
  </cellStyleXfs>
  <cellXfs count="143">
    <xf numFmtId="0" fontId="0" fillId="0" borderId="0" xfId="0"/>
    <xf numFmtId="0" fontId="0" fillId="0" borderId="0" xfId="0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14" fontId="0" fillId="0" borderId="0" xfId="0" applyNumberFormat="1"/>
    <xf numFmtId="0" fontId="10" fillId="0" borderId="0" xfId="0" applyFont="1" applyAlignment="1">
      <alignment horizontal="right"/>
    </xf>
    <xf numFmtId="0" fontId="5" fillId="0" borderId="0" xfId="1"/>
    <xf numFmtId="0" fontId="5" fillId="0" borderId="0" xfId="1" applyAlignment="1">
      <alignment horizontal="center"/>
    </xf>
    <xf numFmtId="0" fontId="7" fillId="0" borderId="0" xfId="1" applyFont="1"/>
    <xf numFmtId="0" fontId="0" fillId="3" borderId="0" xfId="0" applyFill="1"/>
    <xf numFmtId="14" fontId="0" fillId="0" borderId="0" xfId="0" applyNumberFormat="1" applyAlignment="1">
      <alignment horizontal="center" vertical="center"/>
    </xf>
    <xf numFmtId="0" fontId="0" fillId="0" borderId="1" xfId="0" applyBorder="1"/>
    <xf numFmtId="166" fontId="0" fillId="0" borderId="0" xfId="0" applyNumberFormat="1"/>
    <xf numFmtId="0" fontId="9" fillId="0" borderId="18" xfId="0" applyFont="1" applyBorder="1"/>
    <xf numFmtId="0" fontId="9" fillId="0" borderId="15" xfId="0" applyFont="1" applyBorder="1"/>
    <xf numFmtId="0" fontId="8" fillId="0" borderId="1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0" xfId="0" applyFont="1" applyAlignment="1">
      <alignment horizontal="right"/>
    </xf>
    <xf numFmtId="0" fontId="9" fillId="0" borderId="17" xfId="0" applyFont="1" applyBorder="1"/>
    <xf numFmtId="0" fontId="9" fillId="0" borderId="19" xfId="0" applyFont="1" applyBorder="1"/>
    <xf numFmtId="0" fontId="8" fillId="6" borderId="22" xfId="0" applyFont="1" applyFill="1" applyBorder="1" applyAlignment="1">
      <alignment horizontal="right"/>
    </xf>
    <xf numFmtId="14" fontId="9" fillId="0" borderId="18" xfId="0" applyNumberFormat="1" applyFont="1" applyBorder="1"/>
    <xf numFmtId="0" fontId="8" fillId="6" borderId="20" xfId="0" applyFont="1" applyFill="1" applyBorder="1"/>
    <xf numFmtId="0" fontId="8" fillId="6" borderId="21" xfId="0" applyFont="1" applyFill="1" applyBorder="1" applyAlignment="1">
      <alignment horizontal="right"/>
    </xf>
    <xf numFmtId="0" fontId="11" fillId="0" borderId="0" xfId="0" applyFont="1"/>
    <xf numFmtId="0" fontId="8" fillId="0" borderId="0" xfId="0" applyFont="1"/>
    <xf numFmtId="0" fontId="0" fillId="0" borderId="7" xfId="0" applyBorder="1"/>
    <xf numFmtId="0" fontId="11" fillId="0" borderId="0" xfId="0" applyFont="1" applyAlignment="1">
      <alignment horizontal="right"/>
    </xf>
    <xf numFmtId="0" fontId="0" fillId="0" borderId="0" xfId="0" applyAlignment="1">
      <alignment horizontal="centerContinuous"/>
    </xf>
    <xf numFmtId="14" fontId="9" fillId="7" borderId="24" xfId="0" applyNumberFormat="1" applyFont="1" applyFill="1" applyBorder="1"/>
    <xf numFmtId="0" fontId="9" fillId="7" borderId="24" xfId="0" applyFont="1" applyFill="1" applyBorder="1"/>
    <xf numFmtId="0" fontId="9" fillId="7" borderId="23" xfId="0" applyFont="1" applyFill="1" applyBorder="1"/>
    <xf numFmtId="14" fontId="9" fillId="8" borderId="24" xfId="0" applyNumberFormat="1" applyFont="1" applyFill="1" applyBorder="1"/>
    <xf numFmtId="0" fontId="9" fillId="8" borderId="24" xfId="0" applyFont="1" applyFill="1" applyBorder="1"/>
    <xf numFmtId="0" fontId="9" fillId="8" borderId="23" xfId="0" applyFont="1" applyFill="1" applyBorder="1"/>
    <xf numFmtId="14" fontId="9" fillId="7" borderId="25" xfId="0" applyNumberFormat="1" applyFont="1" applyFill="1" applyBorder="1"/>
    <xf numFmtId="0" fontId="9" fillId="7" borderId="25" xfId="0" applyFont="1" applyFill="1" applyBorder="1"/>
    <xf numFmtId="0" fontId="9" fillId="7" borderId="18" xfId="0" applyFont="1" applyFill="1" applyBorder="1"/>
    <xf numFmtId="0" fontId="5" fillId="0" borderId="13" xfId="1" applyBorder="1"/>
    <xf numFmtId="0" fontId="7" fillId="0" borderId="11" xfId="1" applyFont="1" applyBorder="1"/>
    <xf numFmtId="0" fontId="7" fillId="0" borderId="4" xfId="1" applyFont="1" applyBorder="1" applyAlignment="1">
      <alignment horizontal="center"/>
    </xf>
    <xf numFmtId="0" fontId="7" fillId="0" borderId="5" xfId="1" applyFont="1" applyBorder="1" applyAlignment="1">
      <alignment horizontal="center"/>
    </xf>
    <xf numFmtId="0" fontId="7" fillId="0" borderId="11" xfId="1" applyFont="1" applyBorder="1" applyAlignment="1">
      <alignment horizontal="center"/>
    </xf>
    <xf numFmtId="0" fontId="7" fillId="0" borderId="6" xfId="1" applyFont="1" applyBorder="1"/>
    <xf numFmtId="0" fontId="7" fillId="0" borderId="0" xfId="1" applyFont="1" applyAlignment="1">
      <alignment horizontal="center"/>
    </xf>
    <xf numFmtId="0" fontId="7" fillId="0" borderId="7" xfId="1" applyFont="1" applyBorder="1" applyAlignment="1">
      <alignment horizontal="center"/>
    </xf>
    <xf numFmtId="0" fontId="7" fillId="0" borderId="6" xfId="1" applyFont="1" applyBorder="1" applyAlignment="1">
      <alignment horizontal="center"/>
    </xf>
    <xf numFmtId="0" fontId="7" fillId="0" borderId="10" xfId="1" applyFont="1" applyBorder="1"/>
    <xf numFmtId="0" fontId="7" fillId="0" borderId="1" xfId="1" applyFont="1" applyBorder="1" applyAlignment="1">
      <alignment horizontal="center"/>
    </xf>
    <xf numFmtId="0" fontId="7" fillId="0" borderId="8" xfId="1" applyFont="1" applyBorder="1" applyAlignment="1">
      <alignment horizontal="center"/>
    </xf>
    <xf numFmtId="0" fontId="7" fillId="0" borderId="10" xfId="1" applyFont="1" applyBorder="1" applyAlignment="1">
      <alignment horizontal="center"/>
    </xf>
    <xf numFmtId="0" fontId="5" fillId="0" borderId="6" xfId="1" applyBorder="1"/>
    <xf numFmtId="2" fontId="5" fillId="0" borderId="7" xfId="1" applyNumberFormat="1" applyBorder="1" applyAlignment="1">
      <alignment horizontal="center"/>
    </xf>
    <xf numFmtId="0" fontId="5" fillId="0" borderId="6" xfId="1" applyBorder="1" applyAlignment="1">
      <alignment horizontal="center"/>
    </xf>
    <xf numFmtId="0" fontId="5" fillId="0" borderId="10" xfId="1" applyBorder="1"/>
    <xf numFmtId="0" fontId="5" fillId="0" borderId="1" xfId="1" applyBorder="1" applyAlignment="1">
      <alignment horizontal="center"/>
    </xf>
    <xf numFmtId="2" fontId="5" fillId="0" borderId="8" xfId="1" applyNumberFormat="1" applyBorder="1" applyAlignment="1">
      <alignment horizontal="center"/>
    </xf>
    <xf numFmtId="0" fontId="5" fillId="0" borderId="10" xfId="1" applyBorder="1" applyAlignment="1">
      <alignment horizontal="center"/>
    </xf>
    <xf numFmtId="0" fontId="5" fillId="0" borderId="11" xfId="1" applyBorder="1"/>
    <xf numFmtId="2" fontId="5" fillId="0" borderId="6" xfId="1" applyNumberFormat="1" applyBorder="1" applyAlignment="1">
      <alignment horizontal="center"/>
    </xf>
    <xf numFmtId="2" fontId="5" fillId="0" borderId="0" xfId="1" applyNumberFormat="1" applyAlignment="1">
      <alignment horizontal="center"/>
    </xf>
    <xf numFmtId="2" fontId="5" fillId="0" borderId="10" xfId="1" applyNumberFormat="1" applyBorder="1" applyAlignment="1">
      <alignment horizontal="center"/>
    </xf>
    <xf numFmtId="2" fontId="5" fillId="0" borderId="1" xfId="1" applyNumberFormat="1" applyBorder="1" applyAlignment="1">
      <alignment horizontal="center"/>
    </xf>
    <xf numFmtId="0" fontId="5" fillId="0" borderId="2" xfId="1" applyBorder="1" applyAlignment="1">
      <alignment horizontal="center"/>
    </xf>
    <xf numFmtId="0" fontId="5" fillId="0" borderId="3" xfId="1" applyBorder="1" applyAlignment="1">
      <alignment horizontal="center"/>
    </xf>
    <xf numFmtId="0" fontId="5" fillId="0" borderId="9" xfId="1" applyBorder="1" applyAlignment="1">
      <alignment horizontal="center"/>
    </xf>
    <xf numFmtId="2" fontId="5" fillId="0" borderId="0" xfId="1" applyNumberFormat="1"/>
    <xf numFmtId="1" fontId="5" fillId="0" borderId="0" xfId="1" applyNumberFormat="1"/>
    <xf numFmtId="0" fontId="5" fillId="0" borderId="12" xfId="1" applyBorder="1"/>
    <xf numFmtId="0" fontId="5" fillId="0" borderId="14" xfId="1" applyBorder="1"/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9" xfId="1" applyFont="1" applyBorder="1" applyAlignment="1">
      <alignment horizontal="center"/>
    </xf>
    <xf numFmtId="0" fontId="12" fillId="0" borderId="0" xfId="1" applyFont="1"/>
    <xf numFmtId="0" fontId="13" fillId="0" borderId="0" xfId="1" applyFont="1"/>
    <xf numFmtId="0" fontId="7" fillId="0" borderId="2" xfId="1" applyFont="1" applyBorder="1" applyAlignment="1">
      <alignment horizontal="right"/>
    </xf>
    <xf numFmtId="0" fontId="7" fillId="0" borderId="3" xfId="1" applyFont="1" applyBorder="1" applyAlignment="1">
      <alignment horizontal="right"/>
    </xf>
    <xf numFmtId="0" fontId="7" fillId="0" borderId="9" xfId="1" applyFont="1" applyBorder="1" applyAlignment="1">
      <alignment horizontal="right"/>
    </xf>
    <xf numFmtId="165" fontId="5" fillId="0" borderId="0" xfId="1" applyNumberFormat="1"/>
    <xf numFmtId="165" fontId="5" fillId="0" borderId="0" xfId="1" applyNumberFormat="1" applyAlignment="1">
      <alignment horizontal="center"/>
    </xf>
    <xf numFmtId="0" fontId="14" fillId="0" borderId="0" xfId="1" applyFont="1"/>
    <xf numFmtId="0" fontId="14" fillId="0" borderId="0" xfId="1" applyFont="1" applyAlignment="1">
      <alignment horizontal="center"/>
    </xf>
    <xf numFmtId="0" fontId="14" fillId="9" borderId="11" xfId="1" applyFont="1" applyFill="1" applyBorder="1" applyAlignment="1">
      <alignment horizontal="center" textRotation="45"/>
    </xf>
    <xf numFmtId="0" fontId="14" fillId="9" borderId="4" xfId="1" applyFont="1" applyFill="1" applyBorder="1" applyAlignment="1">
      <alignment textRotation="45"/>
    </xf>
    <xf numFmtId="0" fontId="14" fillId="9" borderId="3" xfId="1" applyFont="1" applyFill="1" applyBorder="1" applyAlignment="1">
      <alignment textRotation="45"/>
    </xf>
    <xf numFmtId="0" fontId="14" fillId="9" borderId="9" xfId="1" applyFont="1" applyFill="1" applyBorder="1" applyAlignment="1">
      <alignment textRotation="45"/>
    </xf>
    <xf numFmtId="0" fontId="15" fillId="10" borderId="11" xfId="1" applyFont="1" applyFill="1" applyBorder="1" applyAlignment="1">
      <alignment horizontal="right"/>
    </xf>
    <xf numFmtId="0" fontId="15" fillId="10" borderId="4" xfId="1" applyFont="1" applyFill="1" applyBorder="1" applyAlignment="1">
      <alignment horizontal="right"/>
    </xf>
    <xf numFmtId="0" fontId="15" fillId="10" borderId="26" xfId="1" applyFont="1" applyFill="1" applyBorder="1" applyAlignment="1">
      <alignment horizontal="center"/>
    </xf>
    <xf numFmtId="0" fontId="15" fillId="10" borderId="4" xfId="1" applyFont="1" applyFill="1" applyBorder="1" applyAlignment="1">
      <alignment horizontal="center"/>
    </xf>
    <xf numFmtId="0" fontId="15" fillId="10" borderId="27" xfId="1" applyFont="1" applyFill="1" applyBorder="1" applyAlignment="1">
      <alignment horizontal="center"/>
    </xf>
    <xf numFmtId="0" fontId="15" fillId="10" borderId="5" xfId="1" applyFont="1" applyFill="1" applyBorder="1" applyAlignment="1">
      <alignment horizontal="center"/>
    </xf>
    <xf numFmtId="0" fontId="15" fillId="10" borderId="13" xfId="1" applyFont="1" applyFill="1" applyBorder="1" applyAlignment="1">
      <alignment horizontal="center"/>
    </xf>
    <xf numFmtId="0" fontId="15" fillId="10" borderId="11" xfId="1" applyFont="1" applyFill="1" applyBorder="1" applyAlignment="1">
      <alignment horizontal="center"/>
    </xf>
    <xf numFmtId="0" fontId="15" fillId="10" borderId="6" xfId="1" applyFont="1" applyFill="1" applyBorder="1" applyAlignment="1">
      <alignment horizontal="right"/>
    </xf>
    <xf numFmtId="0" fontId="15" fillId="10" borderId="0" xfId="1" applyFont="1" applyFill="1" applyAlignment="1">
      <alignment horizontal="right"/>
    </xf>
    <xf numFmtId="0" fontId="14" fillId="4" borderId="11" xfId="1" applyFont="1" applyFill="1" applyBorder="1" applyAlignment="1">
      <alignment horizontal="center"/>
    </xf>
    <xf numFmtId="0" fontId="14" fillId="4" borderId="4" xfId="1" applyFont="1" applyFill="1" applyBorder="1" applyAlignment="1">
      <alignment horizontal="center"/>
    </xf>
    <xf numFmtId="0" fontId="14" fillId="4" borderId="26" xfId="1" applyFont="1" applyFill="1" applyBorder="1" applyAlignment="1">
      <alignment horizontal="center"/>
    </xf>
    <xf numFmtId="0" fontId="14" fillId="4" borderId="27" xfId="1" applyFont="1" applyFill="1" applyBorder="1" applyAlignment="1">
      <alignment horizontal="center"/>
    </xf>
    <xf numFmtId="0" fontId="14" fillId="4" borderId="5" xfId="1" applyFont="1" applyFill="1" applyBorder="1" applyAlignment="1">
      <alignment horizontal="center"/>
    </xf>
    <xf numFmtId="0" fontId="14" fillId="4" borderId="6" xfId="1" applyFont="1" applyFill="1" applyBorder="1" applyAlignment="1">
      <alignment horizontal="center"/>
    </xf>
    <xf numFmtId="0" fontId="14" fillId="4" borderId="0" xfId="1" applyFont="1" applyFill="1" applyAlignment="1">
      <alignment horizontal="center"/>
    </xf>
    <xf numFmtId="0" fontId="14" fillId="4" borderId="16" xfId="1" applyFont="1" applyFill="1" applyBorder="1" applyAlignment="1">
      <alignment horizontal="center"/>
    </xf>
    <xf numFmtId="0" fontId="14" fillId="4" borderId="28" xfId="1" applyFont="1" applyFill="1" applyBorder="1" applyAlignment="1">
      <alignment horizontal="center"/>
    </xf>
    <xf numFmtId="0" fontId="14" fillId="4" borderId="7" xfId="1" applyFont="1" applyFill="1" applyBorder="1" applyAlignment="1">
      <alignment horizontal="center"/>
    </xf>
    <xf numFmtId="0" fontId="15" fillId="10" borderId="10" xfId="1" applyFont="1" applyFill="1" applyBorder="1" applyAlignment="1">
      <alignment horizontal="right"/>
    </xf>
    <xf numFmtId="0" fontId="15" fillId="10" borderId="1" xfId="1" applyFont="1" applyFill="1" applyBorder="1" applyAlignment="1">
      <alignment horizontal="right"/>
    </xf>
    <xf numFmtId="0" fontId="14" fillId="4" borderId="1" xfId="1" applyFont="1" applyFill="1" applyBorder="1" applyAlignment="1">
      <alignment horizontal="center"/>
    </xf>
    <xf numFmtId="0" fontId="14" fillId="4" borderId="29" xfId="1" applyFont="1" applyFill="1" applyBorder="1" applyAlignment="1">
      <alignment horizontal="center"/>
    </xf>
    <xf numFmtId="0" fontId="14" fillId="4" borderId="30" xfId="1" applyFont="1" applyFill="1" applyBorder="1" applyAlignment="1">
      <alignment horizontal="center"/>
    </xf>
    <xf numFmtId="0" fontId="14" fillId="4" borderId="8" xfId="1" applyFont="1" applyFill="1" applyBorder="1" applyAlignment="1">
      <alignment horizontal="center"/>
    </xf>
    <xf numFmtId="14" fontId="14" fillId="0" borderId="0" xfId="1" applyNumberFormat="1" applyFont="1"/>
    <xf numFmtId="0" fontId="15" fillId="10" borderId="0" xfId="1" applyFont="1" applyFill="1" applyAlignment="1">
      <alignment horizontal="left" vertical="center"/>
    </xf>
    <xf numFmtId="0" fontId="15" fillId="10" borderId="0" xfId="1" applyFont="1" applyFill="1" applyAlignment="1">
      <alignment horizontal="left"/>
    </xf>
    <xf numFmtId="167" fontId="15" fillId="10" borderId="0" xfId="8" applyNumberFormat="1" applyFont="1" applyFill="1" applyAlignment="1">
      <alignment horizontal="center" vertical="center"/>
    </xf>
    <xf numFmtId="0" fontId="15" fillId="10" borderId="31" xfId="1" applyFont="1" applyFill="1" applyBorder="1" applyAlignment="1">
      <alignment horizontal="center" vertical="center"/>
    </xf>
    <xf numFmtId="0" fontId="14" fillId="0" borderId="0" xfId="1" applyFont="1" applyAlignment="1">
      <alignment vertical="center"/>
    </xf>
    <xf numFmtId="14" fontId="15" fillId="0" borderId="0" xfId="1" applyNumberFormat="1" applyFont="1"/>
    <xf numFmtId="0" fontId="14" fillId="0" borderId="0" xfId="1" applyFont="1" applyAlignment="1">
      <alignment horizontal="right"/>
    </xf>
    <xf numFmtId="0" fontId="14" fillId="0" borderId="0" xfId="1" applyFont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16" fillId="5" borderId="11" xfId="0" applyFont="1" applyFill="1" applyBorder="1"/>
    <xf numFmtId="0" fontId="16" fillId="5" borderId="5" xfId="0" applyFont="1" applyFill="1" applyBorder="1"/>
    <xf numFmtId="0" fontId="16" fillId="5" borderId="6" xfId="0" applyFont="1" applyFill="1" applyBorder="1"/>
    <xf numFmtId="0" fontId="16" fillId="5" borderId="7" xfId="0" applyFont="1" applyFill="1" applyBorder="1"/>
    <xf numFmtId="0" fontId="16" fillId="5" borderId="10" xfId="0" applyFont="1" applyFill="1" applyBorder="1"/>
    <xf numFmtId="0" fontId="16" fillId="5" borderId="8" xfId="0" applyFont="1" applyFill="1" applyBorder="1"/>
    <xf numFmtId="0" fontId="6" fillId="0" borderId="0" xfId="0" applyFont="1"/>
    <xf numFmtId="0" fontId="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6" fillId="2" borderId="2" xfId="0" applyFont="1" applyFill="1" applyBorder="1"/>
    <xf numFmtId="0" fontId="16" fillId="2" borderId="9" xfId="0" applyFont="1" applyFill="1" applyBorder="1"/>
    <xf numFmtId="0" fontId="16" fillId="0" borderId="2" xfId="0" applyFont="1" applyBorder="1"/>
    <xf numFmtId="0" fontId="16" fillId="0" borderId="9" xfId="0" applyFont="1" applyBorder="1"/>
    <xf numFmtId="0" fontId="16" fillId="5" borderId="0" xfId="0" applyFont="1" applyFill="1"/>
    <xf numFmtId="0" fontId="16" fillId="5" borderId="7" xfId="0" applyFont="1" applyFill="1" applyBorder="1" applyAlignment="1">
      <alignment horizontal="left"/>
    </xf>
    <xf numFmtId="0" fontId="16" fillId="5" borderId="1" xfId="0" applyFont="1" applyFill="1" applyBorder="1"/>
    <xf numFmtId="0" fontId="16" fillId="5" borderId="8" xfId="0" applyFont="1" applyFill="1" applyBorder="1" applyAlignment="1">
      <alignment horizontal="left"/>
    </xf>
    <xf numFmtId="0" fontId="16" fillId="0" borderId="3" xfId="0" applyFont="1" applyBorder="1"/>
    <xf numFmtId="168" fontId="0" fillId="0" borderId="0" xfId="0" applyNumberFormat="1"/>
  </cellXfs>
  <cellStyles count="9">
    <cellStyle name="Komma 2" xfId="8" xr:uid="{D0FC86B9-2166-44F3-AEB5-735E74A424C9}"/>
    <cellStyle name="Normal" xfId="0" builtinId="0"/>
    <cellStyle name="Normal 2" xfId="1" xr:uid="{00000000-0005-0000-0000-000002000000}"/>
    <cellStyle name="Normal 3" xfId="2" xr:uid="{00000000-0005-0000-0000-000003000000}"/>
    <cellStyle name="Normal 3 2" xfId="3" xr:uid="{00000000-0005-0000-0000-000004000000}"/>
    <cellStyle name="Normal 3 2 2" xfId="4" xr:uid="{00000000-0005-0000-0000-000005000000}"/>
    <cellStyle name="Normal 3 2 2 2" xfId="7" xr:uid="{00000000-0005-0000-0000-000006000000}"/>
    <cellStyle name="Normal 3 2 3" xfId="6" xr:uid="{00000000-0005-0000-0000-000007000000}"/>
    <cellStyle name="Normal 3 3" xfId="5" xr:uid="{00000000-0005-0000-0000-000008000000}"/>
  </cellStyles>
  <dxfs count="16"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0" formatCode="General"/>
    </dxf>
    <dxf>
      <numFmt numFmtId="0" formatCode="General"/>
    </dxf>
    <dxf>
      <numFmt numFmtId="19" formatCode="dd/mm/yyyy"/>
    </dxf>
    <dxf>
      <alignment horizontal="right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CCFFCC"/>
      <color rgb="FF31869B"/>
      <color rgb="FFFFFFCC"/>
      <color rgb="FF275D6B"/>
      <color rgb="FF3399FF"/>
      <color rgb="FFFBFF4F"/>
      <color rgb="FF538DD5"/>
      <color rgb="FFCC6600"/>
      <color rgb="FFC9FFCC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3</xdr:row>
      <xdr:rowOff>152400</xdr:rowOff>
    </xdr:from>
    <xdr:to>
      <xdr:col>1</xdr:col>
      <xdr:colOff>561975</xdr:colOff>
      <xdr:row>7</xdr:row>
      <xdr:rowOff>0</xdr:rowOff>
    </xdr:to>
    <xdr:sp macro="" textlink="">
      <xdr:nvSpPr>
        <xdr:cNvPr id="2" name="Ellips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304800" y="638175"/>
          <a:ext cx="1019175" cy="4953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nb-NO" sz="1100"/>
            <a:t>Sorter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3E264E-8D67-469E-985E-3568E778190B}" name="t_rang" displayName="t_rang" ref="B1:K42" totalsRowShown="0" headerRowDxfId="15">
  <tableColumns count="10">
    <tableColumn id="1" xr3:uid="{B544D0B1-DD0A-4864-AAD5-517C2E99498D}" name="Dato" dataDxfId="14">
      <calculatedColumnFormula>B1+7</calculatedColumnFormula>
    </tableColumn>
    <tableColumn id="2" xr3:uid="{0A985387-79AE-47BB-A7D2-AB50CE63CC69}" name="ahh">
      <calculatedColumnFormula>_xlfn.XLOOKUP(t_rang[[#This Row],[Dato]],#REF!,#REF!)</calculatedColumnFormula>
    </tableColumn>
    <tableColumn id="3" xr3:uid="{F8C1A9D7-BAED-42DA-AF2D-9D0C1F927241}" name="rb">
      <calculatedColumnFormula>_xlfn.XLOOKUP(t_rang[[#This Row],[Dato]],#REF!,#REF!)</calculatedColumnFormula>
    </tableColumn>
    <tableColumn id="4" xr3:uid="{4B0E4C71-8153-45B0-9665-F481D78C39CD}" name="eb">
      <calculatedColumnFormula>_xlfn.XLOOKUP(t_rang[[#This Row],[Dato]],#REF!,#REF!)</calculatedColumnFormula>
    </tableColumn>
    <tableColumn id="5" xr3:uid="{93DC4F00-3A84-4634-8939-BA95F2ACB30C}" name="kaf">
      <calculatedColumnFormula>_xlfn.XLOOKUP(t_rang[[#This Row],[Dato]],#REF!,#REF!)</calculatedColumnFormula>
    </tableColumn>
    <tableColumn id="6" xr3:uid="{2D1CC3B1-94A6-48FF-AAB3-E4DAEEFA63D8}" name="øg">
      <calculatedColumnFormula>_xlfn.XLOOKUP(t_rang[[#This Row],[Dato]],#REF!,#REF!)</calculatedColumnFormula>
    </tableColumn>
    <tableColumn id="7" xr3:uid="{E83E08DC-ABEB-4464-BECA-99953730715F}" name="jh">
      <calculatedColumnFormula>_xlfn.XLOOKUP(t_rang[[#This Row],[Dato]],#REF!,#REF!)</calculatedColumnFormula>
    </tableColumn>
    <tableColumn id="8" xr3:uid="{A0F9CC31-F4D5-45C2-921E-D513BE765323}" name="toh">
      <calculatedColumnFormula>_xlfn.XLOOKUP(t_rang[[#This Row],[Dato]],#REF!,#REF!)</calculatedColumnFormula>
    </tableColumn>
    <tableColumn id="9" xr3:uid="{C3ABB63C-79F9-4F3C-ABD4-BB2F04A0701E}" name="utg" dataDxfId="13">
      <calculatedColumnFormula>_xlfn.XLOOKUP(t_rang[[#This Row],[Dato]],#REF!,#REF!)</calculatedColumnFormula>
    </tableColumn>
    <tableColumn id="10" xr3:uid="{F2B4A2DD-947C-4742-88BC-A83177DCE64B}" name="lev" dataDxfId="12">
      <calculatedColumnFormula>_xlfn.XLOOKUP(t_rang[[#This Row],[Dato]],#REF!,#REF!)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90F5F23-80BB-4097-9A46-E54B1DFD3246}" name="t_tp" displayName="t_tp" ref="P1:Y42" totalsRowShown="0" headerRowDxfId="11" headerRowBorderDxfId="10">
  <tableColumns count="10">
    <tableColumn id="1" xr3:uid="{FC127EB6-FC0A-4607-A409-4AC494B39A65}" name="Dato" dataDxfId="9">
      <calculatedColumnFormula>#REF!</calculatedColumnFormula>
    </tableColumn>
    <tableColumn id="2" xr3:uid="{C70E91C4-619A-47C8-B71A-7D0B684EF795}" name="ahh" dataDxfId="8">
      <calculatedColumnFormula>#REF!</calculatedColumnFormula>
    </tableColumn>
    <tableColumn id="3" xr3:uid="{1070DC7D-0F6D-4B5D-9C8F-274D757D5698}" name="rb">
      <calculatedColumnFormula>#REF!</calculatedColumnFormula>
    </tableColumn>
    <tableColumn id="4" xr3:uid="{25CD612D-2024-4B38-A116-C0022E94EF27}" name="eb">
      <calculatedColumnFormula>#REF!</calculatedColumnFormula>
    </tableColumn>
    <tableColumn id="5" xr3:uid="{9E8E4A46-866C-4AE6-8495-BA87813F56B3}" name="kaf">
      <calculatedColumnFormula>#REF!</calculatedColumnFormula>
    </tableColumn>
    <tableColumn id="6" xr3:uid="{60D5BCD9-45DB-4E57-A7EE-909708EA8F57}" name="øg">
      <calculatedColumnFormula>#REF!</calculatedColumnFormula>
    </tableColumn>
    <tableColumn id="7" xr3:uid="{2BC75E5A-1A9B-4D03-98E7-4541C8232402}" name="jh">
      <calculatedColumnFormula>#REF!</calculatedColumnFormula>
    </tableColumn>
    <tableColumn id="8" xr3:uid="{8105981B-BFD1-4B9C-8AA1-38CBCD067707}" name="toh">
      <calculatedColumnFormula>#REF!</calculatedColumnFormula>
    </tableColumn>
    <tableColumn id="9" xr3:uid="{2DD2B2E9-7C7E-4A11-9280-EF6DDBC4AA4B}" name="utg">
      <calculatedColumnFormula>#REF!</calculatedColumnFormula>
    </tableColumn>
    <tableColumn id="10" xr3:uid="{8D7E7447-4B24-4E81-811C-1942DD6410E3}" name="lev">
      <calculatedColumnFormula>#REF!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9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77D66A1D-6AC6-4923-A1A5-A1C7F7151B92}">
  <we:reference id="wa104381504" version="1.0.0.0" store="nb-NO" storeType="OMEX"/>
  <we:alternateReferences>
    <we:reference id="WA104381504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507E426D-0B22-43C0-A2F5-86D8591587E1}">
  <we:reference id="wa104381701" version="1.0.0.4" store="nb-NO" storeType="OMEX"/>
  <we:alternateReferences>
    <we:reference id="WA104381701" version="1.0.0.4" store="WA104381701" storeType="OMEX"/>
  </we:alternateReferences>
  <we:properties/>
  <we:bindings>
    <we:binding id="currentSelection" type="table" appref="{15B66A94-4EEC-403A-9554-31C92B2E3CF2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B5B31898-EAAF-4FED-AD7E-6F061100253A}">
  <we:reference id="af1bca95-f5d2-433a-8cd8-f6234fe8c518" version="6.0.0.0" store="EXCatalog" storeType="EXCatalog"/>
  <we:alternateReferences>
    <we:reference id="WA200004935" version="6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_xldudf_FORMULABOT_CLASSIFY</we:customFunctionIds>
        <we:customFunctionIds>_xldudf_FORMULABOT_EXTRACT</we:customFunctionIds>
        <we:customFunctionIds>_xldudf_FORMULABOT_SENTIMENT</we:customFunctionIds>
        <we:customFunctionIds>_xldudf_FORMULABOT_INFO</we:customFunctionIds>
        <we:customFunctionIds>_xldudf_FORMULABOT_FREEFORM</we:customFunctionIds>
        <we:customFunctionIds>_xldudf_FORMULABOT_INFER</we:customFunctionIds>
      </we:customFunctionIdList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17BAD-5538-4489-A414-AD772BBA105B}">
  <sheetPr codeName="Ark18">
    <tabColor theme="3" tint="-0.249977111117893"/>
  </sheetPr>
  <dimension ref="B2:AK29"/>
  <sheetViews>
    <sheetView showGridLines="0" workbookViewId="0">
      <selection activeCell="F5" sqref="F5"/>
    </sheetView>
  </sheetViews>
  <sheetFormatPr baseColWidth="10" defaultColWidth="11.42578125" defaultRowHeight="15.75" x14ac:dyDescent="0.25"/>
  <cols>
    <col min="1" max="1" width="11.42578125" style="81"/>
    <col min="2" max="2" width="2" style="81" customWidth="1"/>
    <col min="3" max="3" width="7.42578125" style="81" customWidth="1"/>
    <col min="4" max="4" width="8.7109375" style="81" bestFit="1" customWidth="1"/>
    <col min="5" max="5" width="5.42578125" style="81" bestFit="1" customWidth="1"/>
    <col min="6" max="6" width="5.5703125" style="81" bestFit="1" customWidth="1"/>
    <col min="7" max="9" width="5" style="81" bestFit="1" customWidth="1"/>
    <col min="10" max="10" width="5.42578125" style="81" bestFit="1" customWidth="1"/>
    <col min="11" max="11" width="5" style="81" bestFit="1" customWidth="1"/>
    <col min="12" max="12" width="5.42578125" style="81" bestFit="1" customWidth="1"/>
    <col min="13" max="13" width="5.5703125" style="82" bestFit="1" customWidth="1"/>
    <col min="14" max="14" width="7.5703125" style="82" hidden="1" customWidth="1"/>
    <col min="15" max="15" width="8.28515625" style="81" customWidth="1"/>
    <col min="16" max="18" width="13.7109375" style="81" customWidth="1"/>
    <col min="19" max="19" width="6.42578125" style="81" bestFit="1" customWidth="1"/>
    <col min="20" max="22" width="6.5703125" style="81" bestFit="1" customWidth="1"/>
    <col min="23" max="23" width="11.42578125" style="81" customWidth="1"/>
    <col min="24" max="24" width="5.85546875" style="81" bestFit="1" customWidth="1"/>
    <col min="25" max="25" width="14.5703125" style="81" customWidth="1"/>
    <col min="26" max="16384" width="11.42578125" style="81"/>
  </cols>
  <sheetData>
    <row r="2" spans="2:24" x14ac:dyDescent="0.25">
      <c r="C2" s="81" t="s">
        <v>0</v>
      </c>
    </row>
    <row r="3" spans="2:24" ht="94.5" customHeight="1" x14ac:dyDescent="0.25">
      <c r="B3" s="83"/>
      <c r="C3" s="84" t="s">
        <v>1</v>
      </c>
      <c r="D3" s="84" t="s">
        <v>2</v>
      </c>
      <c r="E3" s="84" t="s">
        <v>3</v>
      </c>
      <c r="F3" s="84" t="s">
        <v>4</v>
      </c>
      <c r="G3" s="84" t="s">
        <v>4</v>
      </c>
      <c r="H3" s="84" t="s">
        <v>4</v>
      </c>
      <c r="I3" s="84" t="s">
        <v>4</v>
      </c>
      <c r="J3" s="84" t="s">
        <v>4</v>
      </c>
      <c r="K3" s="84" t="s">
        <v>4</v>
      </c>
      <c r="L3" s="84" t="s">
        <v>4</v>
      </c>
      <c r="M3" s="84" t="s">
        <v>4</v>
      </c>
      <c r="N3" s="84" t="s">
        <v>5</v>
      </c>
      <c r="O3" s="85" t="s">
        <v>6</v>
      </c>
      <c r="P3" s="85" t="s">
        <v>7</v>
      </c>
      <c r="Q3" s="85" t="s">
        <v>8</v>
      </c>
      <c r="R3" s="85" t="s">
        <v>9</v>
      </c>
      <c r="S3" s="85" t="s">
        <v>10</v>
      </c>
      <c r="T3" s="85" t="s">
        <v>11</v>
      </c>
      <c r="U3" s="85" t="s">
        <v>12</v>
      </c>
      <c r="V3" s="85" t="s">
        <v>13</v>
      </c>
      <c r="W3" s="85" t="s">
        <v>14</v>
      </c>
      <c r="X3" s="86" t="s">
        <v>5</v>
      </c>
    </row>
    <row r="4" spans="2:24" x14ac:dyDescent="0.25">
      <c r="B4" s="87"/>
      <c r="C4" s="88"/>
      <c r="D4" s="88"/>
      <c r="E4" s="88"/>
      <c r="F4" s="89">
        <v>80</v>
      </c>
      <c r="G4" s="90">
        <v>70</v>
      </c>
      <c r="H4" s="90">
        <v>60</v>
      </c>
      <c r="I4" s="90">
        <v>50</v>
      </c>
      <c r="J4" s="88">
        <v>40</v>
      </c>
      <c r="K4" s="88">
        <v>30</v>
      </c>
      <c r="L4" s="88">
        <v>20</v>
      </c>
      <c r="M4" s="91">
        <v>10</v>
      </c>
      <c r="N4" s="92" t="s">
        <v>15</v>
      </c>
      <c r="O4" s="93"/>
      <c r="P4" s="94" t="s">
        <v>16</v>
      </c>
      <c r="Q4" s="90" t="s">
        <v>17</v>
      </c>
      <c r="R4" s="90" t="s">
        <v>18</v>
      </c>
      <c r="S4" s="90">
        <f>$S$16</f>
        <v>80</v>
      </c>
      <c r="T4" s="90">
        <f>$S$16</f>
        <v>80</v>
      </c>
      <c r="U4" s="90">
        <f>$S$16</f>
        <v>80</v>
      </c>
      <c r="V4" s="90"/>
      <c r="W4" s="90"/>
      <c r="X4" s="92"/>
    </row>
    <row r="5" spans="2:24" ht="18" customHeight="1" x14ac:dyDescent="0.25">
      <c r="B5" s="95"/>
      <c r="C5" s="96" t="s">
        <v>19</v>
      </c>
      <c r="D5" s="97" t="e">
        <f ca="1">SUMIFS(INDIRECT("t_"&amp;C5&amp;"[tp]"),INDIRECT("t_"&amp;C5&amp;"[tp]"),"&lt;&gt;""")+X5</f>
        <v>#REF!</v>
      </c>
      <c r="E5" s="98" t="e">
        <f ca="1">AVERAGE(INDIRECT("t_"&amp;C5&amp;"[Rank]"))</f>
        <v>#REF!</v>
      </c>
      <c r="F5" s="99" t="e">
        <f>COUNTIF(#REF!,F$4)</f>
        <v>#REF!</v>
      </c>
      <c r="G5" s="98" t="e">
        <f>COUNTIF(#REF!,G$4)</f>
        <v>#REF!</v>
      </c>
      <c r="H5" s="98" t="e">
        <f>COUNTIF(#REF!,H$4)</f>
        <v>#REF!</v>
      </c>
      <c r="I5" s="98" t="e">
        <f>COUNTIF(#REF!,I$4)</f>
        <v>#REF!</v>
      </c>
      <c r="J5" s="98" t="e">
        <f>COUNTIF(#REF!,J$4)</f>
        <v>#REF!</v>
      </c>
      <c r="K5" s="98" t="e">
        <f>COUNTIF(#REF!,K$4)</f>
        <v>#REF!</v>
      </c>
      <c r="L5" s="98" t="e">
        <f>COUNTIF(#REF!,L$4)</f>
        <v>#REF!</v>
      </c>
      <c r="M5" s="100" t="e">
        <f>COUNTIF(#REF!,M$4)</f>
        <v>#REF!</v>
      </c>
      <c r="N5" s="98" t="e">
        <f ca="1">(SUM(INDIRECT("t_"&amp;C5&amp;"[Straff]"))/50)*-1</f>
        <v>#REF!</v>
      </c>
      <c r="O5" s="98" t="e">
        <f ca="1">_xlfn.RANK.EQ(D5,$D$5:$D$13)</f>
        <v>#REF!</v>
      </c>
      <c r="P5" s="99" t="e">
        <f ca="1">SUMIFS(INDIRECT("t_"&amp;C5&amp;"[hp]"),INDIRECT("t_"&amp;C5&amp;"[hp]"),"&lt;&gt;""")</f>
        <v>#REF!</v>
      </c>
      <c r="Q5" s="98" t="e">
        <f ca="1">SUMIFS(INDIRECT("t_"&amp;C5&amp;"[up]"),INDIRECT("t_"&amp;C5&amp;"[up]"),"&lt;&gt;""")</f>
        <v>#REF!</v>
      </c>
      <c r="R5" s="100" t="e">
        <f ca="1">SUMIFS(INDIRECT("t_"&amp;C5&amp;"[bp]"),INDIRECT("t_"&amp;C5&amp;"[bp]"),"&lt;&gt;""")</f>
        <v>#REF!</v>
      </c>
      <c r="S5" s="99" t="e">
        <f>COUNTIF(#REF!,S4)</f>
        <v>#REF!</v>
      </c>
      <c r="T5" s="98" t="e">
        <f>COUNTIF(#REF!,T4)</f>
        <v>#REF!</v>
      </c>
      <c r="U5" s="100" t="e">
        <f>COUNTIF(#REF!,U4)</f>
        <v>#REF!</v>
      </c>
      <c r="V5" s="98" t="e">
        <f ca="1">COUNTIF(INDIRECT("t_"&amp;$C5&amp;"[Rank]"),"&gt;0")</f>
        <v>#REF!</v>
      </c>
      <c r="W5" s="98" t="e">
        <f ca="1">(960*$V5)-SUM(P5:R5)</f>
        <v>#REF!</v>
      </c>
      <c r="X5" s="101" t="e">
        <f ca="1">(SUM(INDIRECT("t_"&amp;C5&amp;"[Straff]"))/50)*-1</f>
        <v>#REF!</v>
      </c>
    </row>
    <row r="6" spans="2:24" ht="18" customHeight="1" x14ac:dyDescent="0.25">
      <c r="B6" s="95"/>
      <c r="C6" s="96" t="s">
        <v>20</v>
      </c>
      <c r="D6" s="102" t="e">
        <f ca="1">SUMIFS(INDIRECT("t_"&amp;C6&amp;"[tp]"),INDIRECT("t_"&amp;C6&amp;"[tp]"),"&lt;&gt;""")+X6</f>
        <v>#REF!</v>
      </c>
      <c r="E6" s="103" t="e">
        <f t="shared" ref="E6:E13" ca="1" si="0">AVERAGE(INDIRECT("t_"&amp;C6&amp;"[Rank]"))</f>
        <v>#REF!</v>
      </c>
      <c r="F6" s="104" t="e">
        <f>COUNTIF(#REF!,F$4)</f>
        <v>#REF!</v>
      </c>
      <c r="G6" s="103" t="e">
        <f>COUNTIF(#REF!,G$4)</f>
        <v>#REF!</v>
      </c>
      <c r="H6" s="103" t="e">
        <f>COUNTIF(#REF!,H$4)</f>
        <v>#REF!</v>
      </c>
      <c r="I6" s="103" t="e">
        <f>COUNTIF(#REF!,I$4)</f>
        <v>#REF!</v>
      </c>
      <c r="J6" s="103" t="e">
        <f>COUNTIF(#REF!,J$4)</f>
        <v>#REF!</v>
      </c>
      <c r="K6" s="103" t="e">
        <f>COUNTIF(#REF!,K$4)</f>
        <v>#REF!</v>
      </c>
      <c r="L6" s="103" t="e">
        <f>COUNTIF(#REF!,L$4)</f>
        <v>#REF!</v>
      </c>
      <c r="M6" s="105" t="e">
        <f>COUNTIF(#REF!,M$4)</f>
        <v>#REF!</v>
      </c>
      <c r="N6" s="103" t="e">
        <f t="shared" ref="N6:N13" ca="1" si="1">(SUM(INDIRECT("t_"&amp;C6&amp;"[Straff]"))/50)*-1</f>
        <v>#REF!</v>
      </c>
      <c r="O6" s="103" t="e">
        <f t="shared" ref="O6:O13" ca="1" si="2">_xlfn.RANK.EQ(D6,$D$5:$D$13)</f>
        <v>#REF!</v>
      </c>
      <c r="P6" s="104" t="e">
        <f t="shared" ref="P6:P13" ca="1" si="3">SUMIFS(INDIRECT("t_"&amp;C6&amp;"[hp]"),INDIRECT("t_"&amp;C6&amp;"[hp]"),"&lt;&gt;""")</f>
        <v>#REF!</v>
      </c>
      <c r="Q6" s="103" t="e">
        <f t="shared" ref="Q6:Q13" ca="1" si="4">SUMIFS(INDIRECT("t_"&amp;C6&amp;"[up]"),INDIRECT("t_"&amp;C6&amp;"[up]"),"&lt;&gt;""")</f>
        <v>#REF!</v>
      </c>
      <c r="R6" s="105" t="e">
        <f t="shared" ref="R6:R13" ca="1" si="5">SUMIFS(INDIRECT("t_"&amp;C6&amp;"[bp]"),INDIRECT("t_"&amp;C6&amp;"[bp]"),"&lt;&gt;""")</f>
        <v>#REF!</v>
      </c>
      <c r="S6" s="104" t="e">
        <f>COUNTIF(#REF!,S4)</f>
        <v>#REF!</v>
      </c>
      <c r="T6" s="103" t="e">
        <f>COUNTIF(#REF!,T4)</f>
        <v>#REF!</v>
      </c>
      <c r="U6" s="105" t="e">
        <f>COUNTIF(#REF!,U4)</f>
        <v>#REF!</v>
      </c>
      <c r="V6" s="103" t="e">
        <f t="shared" ref="V6:V13" ca="1" si="6">COUNTIF(INDIRECT("t_"&amp;$C6&amp;"[Rank]"),"&gt;0")</f>
        <v>#REF!</v>
      </c>
      <c r="W6" s="103" t="e">
        <f t="shared" ref="W6:W13" ca="1" si="7">(960*$V6)-SUM(P6:R6)</f>
        <v>#REF!</v>
      </c>
      <c r="X6" s="106" t="e">
        <f t="shared" ref="X6:X13" ca="1" si="8">(SUM(INDIRECT("t_"&amp;C6&amp;"[Straff]"))/50)*-1</f>
        <v>#REF!</v>
      </c>
    </row>
    <row r="7" spans="2:24" ht="18" customHeight="1" x14ac:dyDescent="0.25">
      <c r="B7" s="95"/>
      <c r="C7" s="96" t="s">
        <v>21</v>
      </c>
      <c r="D7" s="102" t="e">
        <f t="shared" ref="D7:D13" ca="1" si="9">SUMIFS(INDIRECT("t_"&amp;C7&amp;"[tp]"),INDIRECT("t_"&amp;C7&amp;"[tp]"),"&lt;&gt;""")+X7</f>
        <v>#REF!</v>
      </c>
      <c r="E7" s="103" t="e">
        <f t="shared" ca="1" si="0"/>
        <v>#REF!</v>
      </c>
      <c r="F7" s="104" t="e">
        <f>COUNTIF(#REF!,F$4)</f>
        <v>#REF!</v>
      </c>
      <c r="G7" s="103" t="e">
        <f>COUNTIF(#REF!,G$4)</f>
        <v>#REF!</v>
      </c>
      <c r="H7" s="103" t="e">
        <f>COUNTIF(#REF!,H$4)</f>
        <v>#REF!</v>
      </c>
      <c r="I7" s="103" t="e">
        <f>COUNTIF(#REF!,I$4)</f>
        <v>#REF!</v>
      </c>
      <c r="J7" s="103" t="e">
        <f>COUNTIF(#REF!,J$4)</f>
        <v>#REF!</v>
      </c>
      <c r="K7" s="103" t="e">
        <f>COUNTIF(#REF!,K$4)</f>
        <v>#REF!</v>
      </c>
      <c r="L7" s="103" t="e">
        <f>COUNTIF(#REF!,L$4)</f>
        <v>#REF!</v>
      </c>
      <c r="M7" s="105" t="e">
        <f>COUNTIF(#REF!,M$4)</f>
        <v>#REF!</v>
      </c>
      <c r="N7" s="103" t="e">
        <f t="shared" ca="1" si="1"/>
        <v>#REF!</v>
      </c>
      <c r="O7" s="103" t="e">
        <f t="shared" ca="1" si="2"/>
        <v>#REF!</v>
      </c>
      <c r="P7" s="104" t="e">
        <f t="shared" ca="1" si="3"/>
        <v>#REF!</v>
      </c>
      <c r="Q7" s="103" t="e">
        <f t="shared" ca="1" si="4"/>
        <v>#REF!</v>
      </c>
      <c r="R7" s="105" t="e">
        <f t="shared" ca="1" si="5"/>
        <v>#REF!</v>
      </c>
      <c r="S7" s="104" t="e">
        <f>COUNTIF(#REF!,S4)</f>
        <v>#REF!</v>
      </c>
      <c r="T7" s="103" t="e">
        <f>COUNTIF(#REF!,T4)</f>
        <v>#REF!</v>
      </c>
      <c r="U7" s="105" t="e">
        <f>COUNTIF(#REF!,U4)</f>
        <v>#REF!</v>
      </c>
      <c r="V7" s="103" t="e">
        <f t="shared" ca="1" si="6"/>
        <v>#REF!</v>
      </c>
      <c r="W7" s="103" t="e">
        <f t="shared" ca="1" si="7"/>
        <v>#REF!</v>
      </c>
      <c r="X7" s="106" t="e">
        <f t="shared" ca="1" si="8"/>
        <v>#REF!</v>
      </c>
    </row>
    <row r="8" spans="2:24" ht="18" customHeight="1" x14ac:dyDescent="0.25">
      <c r="B8" s="95"/>
      <c r="C8" s="96" t="s">
        <v>22</v>
      </c>
      <c r="D8" s="102" t="e">
        <f t="shared" ca="1" si="9"/>
        <v>#REF!</v>
      </c>
      <c r="E8" s="103" t="e">
        <f t="shared" ca="1" si="0"/>
        <v>#REF!</v>
      </c>
      <c r="F8" s="104" t="e">
        <f>COUNTIF(#REF!,F$4)</f>
        <v>#REF!</v>
      </c>
      <c r="G8" s="103" t="e">
        <f>COUNTIF(#REF!,G$4)</f>
        <v>#REF!</v>
      </c>
      <c r="H8" s="103" t="e">
        <f>COUNTIF(#REF!,H$4)</f>
        <v>#REF!</v>
      </c>
      <c r="I8" s="103" t="e">
        <f>COUNTIF(#REF!,I$4)</f>
        <v>#REF!</v>
      </c>
      <c r="J8" s="103" t="e">
        <f>COUNTIF(#REF!,J$4)</f>
        <v>#REF!</v>
      </c>
      <c r="K8" s="103" t="e">
        <f>COUNTIF(#REF!,K$4)</f>
        <v>#REF!</v>
      </c>
      <c r="L8" s="103" t="e">
        <f>COUNTIF(#REF!,L$4)</f>
        <v>#REF!</v>
      </c>
      <c r="M8" s="105" t="e">
        <f>COUNTIF(#REF!,M$4)</f>
        <v>#REF!</v>
      </c>
      <c r="N8" s="103" t="e">
        <f t="shared" ca="1" si="1"/>
        <v>#REF!</v>
      </c>
      <c r="O8" s="103" t="e">
        <f t="shared" ca="1" si="2"/>
        <v>#REF!</v>
      </c>
      <c r="P8" s="104" t="e">
        <f t="shared" ca="1" si="3"/>
        <v>#REF!</v>
      </c>
      <c r="Q8" s="103" t="e">
        <f t="shared" ca="1" si="4"/>
        <v>#REF!</v>
      </c>
      <c r="R8" s="105" t="e">
        <f t="shared" ca="1" si="5"/>
        <v>#REF!</v>
      </c>
      <c r="S8" s="104" t="e">
        <f>COUNTIF(#REF!,S4)</f>
        <v>#REF!</v>
      </c>
      <c r="T8" s="103" t="e">
        <f>COUNTIF(#REF!,T4)</f>
        <v>#REF!</v>
      </c>
      <c r="U8" s="105" t="e">
        <f>COUNTIF(#REF!,U4)</f>
        <v>#REF!</v>
      </c>
      <c r="V8" s="103" t="e">
        <f t="shared" ca="1" si="6"/>
        <v>#REF!</v>
      </c>
      <c r="W8" s="103" t="e">
        <f t="shared" ca="1" si="7"/>
        <v>#REF!</v>
      </c>
      <c r="X8" s="106" t="e">
        <f t="shared" ca="1" si="8"/>
        <v>#REF!</v>
      </c>
    </row>
    <row r="9" spans="2:24" ht="18" customHeight="1" x14ac:dyDescent="0.25">
      <c r="B9" s="95"/>
      <c r="C9" s="96" t="s">
        <v>23</v>
      </c>
      <c r="D9" s="102" t="e">
        <f t="shared" ca="1" si="9"/>
        <v>#REF!</v>
      </c>
      <c r="E9" s="103" t="e">
        <f t="shared" ca="1" si="0"/>
        <v>#REF!</v>
      </c>
      <c r="F9" s="104" t="e">
        <f>COUNTIF(#REF!,F$4)</f>
        <v>#REF!</v>
      </c>
      <c r="G9" s="103" t="e">
        <f>COUNTIF(#REF!,G$4)</f>
        <v>#REF!</v>
      </c>
      <c r="H9" s="103" t="e">
        <f>COUNTIF(#REF!,H$4)</f>
        <v>#REF!</v>
      </c>
      <c r="I9" s="103" t="e">
        <f>COUNTIF(#REF!,I$4)</f>
        <v>#REF!</v>
      </c>
      <c r="J9" s="103" t="e">
        <f>COUNTIF(#REF!,J$4)</f>
        <v>#REF!</v>
      </c>
      <c r="K9" s="103" t="e">
        <f>COUNTIF(#REF!,K$4)</f>
        <v>#REF!</v>
      </c>
      <c r="L9" s="103" t="e">
        <f>COUNTIF(#REF!,L$4)</f>
        <v>#REF!</v>
      </c>
      <c r="M9" s="105" t="e">
        <f>COUNTIF(#REF!,M$4)</f>
        <v>#REF!</v>
      </c>
      <c r="N9" s="103" t="e">
        <f t="shared" ca="1" si="1"/>
        <v>#REF!</v>
      </c>
      <c r="O9" s="103" t="e">
        <f t="shared" ca="1" si="2"/>
        <v>#REF!</v>
      </c>
      <c r="P9" s="104" t="e">
        <f t="shared" ca="1" si="3"/>
        <v>#REF!</v>
      </c>
      <c r="Q9" s="103" t="e">
        <f t="shared" ca="1" si="4"/>
        <v>#REF!</v>
      </c>
      <c r="R9" s="105" t="e">
        <f t="shared" ca="1" si="5"/>
        <v>#REF!</v>
      </c>
      <c r="S9" s="104" t="e">
        <f>COUNTIF(#REF!,S4)</f>
        <v>#REF!</v>
      </c>
      <c r="T9" s="103" t="e">
        <f>COUNTIF(#REF!,T4)</f>
        <v>#REF!</v>
      </c>
      <c r="U9" s="105" t="e">
        <f>COUNTIF(#REF!,U4)</f>
        <v>#REF!</v>
      </c>
      <c r="V9" s="103" t="e">
        <f t="shared" ca="1" si="6"/>
        <v>#REF!</v>
      </c>
      <c r="W9" s="103" t="e">
        <f t="shared" ca="1" si="7"/>
        <v>#REF!</v>
      </c>
      <c r="X9" s="106" t="e">
        <f t="shared" ca="1" si="8"/>
        <v>#REF!</v>
      </c>
    </row>
    <row r="10" spans="2:24" ht="18" customHeight="1" x14ac:dyDescent="0.25">
      <c r="B10" s="95"/>
      <c r="C10" s="96" t="s">
        <v>24</v>
      </c>
      <c r="D10" s="102" t="e">
        <f t="shared" ca="1" si="9"/>
        <v>#REF!</v>
      </c>
      <c r="E10" s="103" t="e">
        <f t="shared" ca="1" si="0"/>
        <v>#REF!</v>
      </c>
      <c r="F10" s="104" t="e">
        <f>COUNTIF(#REF!,F$4)</f>
        <v>#REF!</v>
      </c>
      <c r="G10" s="103" t="e">
        <f>COUNTIF(#REF!,G$4)</f>
        <v>#REF!</v>
      </c>
      <c r="H10" s="103" t="e">
        <f>COUNTIF(#REF!,H$4)</f>
        <v>#REF!</v>
      </c>
      <c r="I10" s="103" t="e">
        <f>COUNTIF(#REF!,I$4)</f>
        <v>#REF!</v>
      </c>
      <c r="J10" s="103" t="e">
        <f>COUNTIF(#REF!,J$4)</f>
        <v>#REF!</v>
      </c>
      <c r="K10" s="103" t="e">
        <f>COUNTIF(#REF!,K$4)</f>
        <v>#REF!</v>
      </c>
      <c r="L10" s="103" t="e">
        <f>COUNTIF(#REF!,L$4)</f>
        <v>#REF!</v>
      </c>
      <c r="M10" s="105" t="e">
        <f>COUNTIF(#REF!,M$4)</f>
        <v>#REF!</v>
      </c>
      <c r="N10" s="103" t="e">
        <f t="shared" ca="1" si="1"/>
        <v>#REF!</v>
      </c>
      <c r="O10" s="103" t="e">
        <f t="shared" ca="1" si="2"/>
        <v>#REF!</v>
      </c>
      <c r="P10" s="104" t="e">
        <f t="shared" ca="1" si="3"/>
        <v>#REF!</v>
      </c>
      <c r="Q10" s="103" t="e">
        <f t="shared" ca="1" si="4"/>
        <v>#REF!</v>
      </c>
      <c r="R10" s="105" t="e">
        <f t="shared" ca="1" si="5"/>
        <v>#REF!</v>
      </c>
      <c r="S10" s="104" t="e">
        <f>COUNTIF(#REF!,S4)</f>
        <v>#REF!</v>
      </c>
      <c r="T10" s="103" t="e">
        <f>COUNTIF(#REF!,T4)</f>
        <v>#REF!</v>
      </c>
      <c r="U10" s="105" t="e">
        <f>COUNTIF(#REF!,U4)</f>
        <v>#REF!</v>
      </c>
      <c r="V10" s="103" t="e">
        <f t="shared" ca="1" si="6"/>
        <v>#REF!</v>
      </c>
      <c r="W10" s="103" t="e">
        <f t="shared" ca="1" si="7"/>
        <v>#REF!</v>
      </c>
      <c r="X10" s="106" t="e">
        <f t="shared" ca="1" si="8"/>
        <v>#REF!</v>
      </c>
    </row>
    <row r="11" spans="2:24" ht="18" customHeight="1" x14ac:dyDescent="0.25">
      <c r="B11" s="95"/>
      <c r="C11" s="96" t="s">
        <v>25</v>
      </c>
      <c r="D11" s="102" t="e">
        <f t="shared" ca="1" si="9"/>
        <v>#REF!</v>
      </c>
      <c r="E11" s="103" t="e">
        <f t="shared" ca="1" si="0"/>
        <v>#REF!</v>
      </c>
      <c r="F11" s="104" t="e">
        <f>COUNTIF(#REF!,F$4)</f>
        <v>#REF!</v>
      </c>
      <c r="G11" s="103" t="e">
        <f>COUNTIF(#REF!,G$4)</f>
        <v>#REF!</v>
      </c>
      <c r="H11" s="103" t="e">
        <f>COUNTIF(#REF!,H$4)</f>
        <v>#REF!</v>
      </c>
      <c r="I11" s="103" t="e">
        <f>COUNTIF(#REF!,I$4)</f>
        <v>#REF!</v>
      </c>
      <c r="J11" s="103" t="e">
        <f>COUNTIF(#REF!,J$4)</f>
        <v>#REF!</v>
      </c>
      <c r="K11" s="103" t="e">
        <f>COUNTIF(#REF!,K$4)</f>
        <v>#REF!</v>
      </c>
      <c r="L11" s="103" t="e">
        <f>COUNTIF(#REF!,L$4)</f>
        <v>#REF!</v>
      </c>
      <c r="M11" s="105" t="e">
        <f>COUNTIF(#REF!,M$4)</f>
        <v>#REF!</v>
      </c>
      <c r="N11" s="103" t="e">
        <f t="shared" ca="1" si="1"/>
        <v>#REF!</v>
      </c>
      <c r="O11" s="103" t="e">
        <f t="shared" ca="1" si="2"/>
        <v>#REF!</v>
      </c>
      <c r="P11" s="104" t="e">
        <f t="shared" ca="1" si="3"/>
        <v>#REF!</v>
      </c>
      <c r="Q11" s="103" t="e">
        <f t="shared" ca="1" si="4"/>
        <v>#REF!</v>
      </c>
      <c r="R11" s="105" t="e">
        <f t="shared" ca="1" si="5"/>
        <v>#REF!</v>
      </c>
      <c r="S11" s="104" t="e">
        <f>COUNTIF(#REF!,S4)</f>
        <v>#REF!</v>
      </c>
      <c r="T11" s="103" t="e">
        <f>COUNTIF(#REF!,T4)</f>
        <v>#REF!</v>
      </c>
      <c r="U11" s="105" t="e">
        <f>COUNTIF(#REF!,U4)</f>
        <v>#REF!</v>
      </c>
      <c r="V11" s="103" t="e">
        <f t="shared" ca="1" si="6"/>
        <v>#REF!</v>
      </c>
      <c r="W11" s="103" t="e">
        <f t="shared" ca="1" si="7"/>
        <v>#REF!</v>
      </c>
      <c r="X11" s="106" t="e">
        <f t="shared" ca="1" si="8"/>
        <v>#REF!</v>
      </c>
    </row>
    <row r="12" spans="2:24" ht="18" customHeight="1" x14ac:dyDescent="0.25">
      <c r="B12" s="95"/>
      <c r="C12" s="96" t="s">
        <v>26</v>
      </c>
      <c r="D12" s="103" t="e">
        <f t="shared" ca="1" si="9"/>
        <v>#REF!</v>
      </c>
      <c r="E12" s="103" t="e">
        <f t="shared" ca="1" si="0"/>
        <v>#REF!</v>
      </c>
      <c r="F12" s="104" t="e">
        <f>COUNTIF(#REF!,F$4)</f>
        <v>#REF!</v>
      </c>
      <c r="G12" s="103" t="e">
        <f>COUNTIF(#REF!,G$4)</f>
        <v>#REF!</v>
      </c>
      <c r="H12" s="103" t="e">
        <f>COUNTIF(#REF!,H$4)</f>
        <v>#REF!</v>
      </c>
      <c r="I12" s="103" t="e">
        <f>COUNTIF(#REF!,I$4)</f>
        <v>#REF!</v>
      </c>
      <c r="J12" s="103" t="e">
        <f>COUNTIF(#REF!,J$4)</f>
        <v>#REF!</v>
      </c>
      <c r="K12" s="103" t="e">
        <f>COUNTIF(#REF!,K$4)</f>
        <v>#REF!</v>
      </c>
      <c r="L12" s="103" t="e">
        <f>COUNTIF(#REF!,L$4)</f>
        <v>#REF!</v>
      </c>
      <c r="M12" s="105" t="e">
        <f>COUNTIF(#REF!,M$4)</f>
        <v>#REF!</v>
      </c>
      <c r="N12" s="103" t="e">
        <f t="shared" ca="1" si="1"/>
        <v>#REF!</v>
      </c>
      <c r="O12" s="103" t="e">
        <f t="shared" ca="1" si="2"/>
        <v>#REF!</v>
      </c>
      <c r="P12" s="104" t="e">
        <f t="shared" ca="1" si="3"/>
        <v>#REF!</v>
      </c>
      <c r="Q12" s="103" t="e">
        <f t="shared" ca="1" si="4"/>
        <v>#REF!</v>
      </c>
      <c r="R12" s="105" t="e">
        <f t="shared" ca="1" si="5"/>
        <v>#REF!</v>
      </c>
      <c r="S12" s="104" t="e">
        <f>COUNTIF(#REF!,S4)</f>
        <v>#REF!</v>
      </c>
      <c r="T12" s="103" t="e">
        <f>COUNTIF(#REF!,T4)</f>
        <v>#REF!</v>
      </c>
      <c r="U12" s="105" t="e">
        <f>COUNTIF(#REF!,U4)</f>
        <v>#REF!</v>
      </c>
      <c r="V12" s="103" t="e">
        <f t="shared" ca="1" si="6"/>
        <v>#REF!</v>
      </c>
      <c r="W12" s="103" t="e">
        <f t="shared" ca="1" si="7"/>
        <v>#REF!</v>
      </c>
      <c r="X12" s="106" t="e">
        <f t="shared" ca="1" si="8"/>
        <v>#REF!</v>
      </c>
    </row>
    <row r="13" spans="2:24" ht="18" customHeight="1" x14ac:dyDescent="0.25">
      <c r="B13" s="107"/>
      <c r="C13" s="108" t="s">
        <v>27</v>
      </c>
      <c r="D13" s="109" t="e">
        <f t="shared" ca="1" si="9"/>
        <v>#REF!</v>
      </c>
      <c r="E13" s="109" t="e">
        <f t="shared" ca="1" si="0"/>
        <v>#REF!</v>
      </c>
      <c r="F13" s="110" t="e">
        <f>COUNTIF(#REF!,F$4)</f>
        <v>#REF!</v>
      </c>
      <c r="G13" s="109" t="e">
        <f>COUNTIF(#REF!,G$4)</f>
        <v>#REF!</v>
      </c>
      <c r="H13" s="109" t="e">
        <f>COUNTIF(#REF!,H$4)</f>
        <v>#REF!</v>
      </c>
      <c r="I13" s="109" t="e">
        <f>COUNTIF(#REF!,I$4)</f>
        <v>#REF!</v>
      </c>
      <c r="J13" s="109" t="e">
        <f>COUNTIF(#REF!,J$4)</f>
        <v>#REF!</v>
      </c>
      <c r="K13" s="109" t="e">
        <f>COUNTIF(#REF!,K$4)</f>
        <v>#REF!</v>
      </c>
      <c r="L13" s="109" t="e">
        <f>COUNTIF(#REF!,L$4)</f>
        <v>#REF!</v>
      </c>
      <c r="M13" s="111" t="e">
        <f>COUNTIF(#REF!,M$4)</f>
        <v>#REF!</v>
      </c>
      <c r="N13" s="109" t="e">
        <f t="shared" ca="1" si="1"/>
        <v>#REF!</v>
      </c>
      <c r="O13" s="109" t="e">
        <f t="shared" ca="1" si="2"/>
        <v>#REF!</v>
      </c>
      <c r="P13" s="110" t="e">
        <f t="shared" ca="1" si="3"/>
        <v>#REF!</v>
      </c>
      <c r="Q13" s="109" t="e">
        <f t="shared" ca="1" si="4"/>
        <v>#REF!</v>
      </c>
      <c r="R13" s="111" t="e">
        <f t="shared" ca="1" si="5"/>
        <v>#REF!</v>
      </c>
      <c r="S13" s="110" t="e">
        <f>COUNTIF(#REF!,S4)</f>
        <v>#REF!</v>
      </c>
      <c r="T13" s="109" t="e">
        <f>COUNTIF(#REF!,T4)</f>
        <v>#REF!</v>
      </c>
      <c r="U13" s="111" t="e">
        <f>COUNTIF(#REF!,U4)</f>
        <v>#REF!</v>
      </c>
      <c r="V13" s="109" t="e">
        <f t="shared" ca="1" si="6"/>
        <v>#REF!</v>
      </c>
      <c r="W13" s="109" t="e">
        <f t="shared" ca="1" si="7"/>
        <v>#REF!</v>
      </c>
      <c r="X13" s="112" t="e">
        <f t="shared" ca="1" si="8"/>
        <v>#REF!</v>
      </c>
    </row>
    <row r="14" spans="2:24" x14ac:dyDescent="0.25">
      <c r="T14" s="113"/>
    </row>
    <row r="15" spans="2:24" x14ac:dyDescent="0.25">
      <c r="P15" s="82" t="s">
        <v>28</v>
      </c>
      <c r="Q15" s="82" t="s">
        <v>29</v>
      </c>
      <c r="R15" s="82" t="s">
        <v>14</v>
      </c>
      <c r="T15" s="113"/>
    </row>
    <row r="16" spans="2:24" ht="31.5" customHeight="1" x14ac:dyDescent="0.25">
      <c r="B16" s="114"/>
      <c r="C16" s="114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6" t="e">
        <f ca="1">960*3*SUM($V$5:$V$13)</f>
        <v>#REF!</v>
      </c>
      <c r="Q16" s="116" t="e">
        <f ca="1">SUM($P$5:$R$13)</f>
        <v>#REF!</v>
      </c>
      <c r="R16" s="116" t="e">
        <f ca="1">P16-Q16</f>
        <v>#REF!</v>
      </c>
      <c r="S16" s="117">
        <v>80</v>
      </c>
      <c r="T16" s="115"/>
      <c r="U16" s="115"/>
      <c r="V16" s="115"/>
      <c r="W16" s="115"/>
      <c r="X16" s="115"/>
    </row>
    <row r="17" spans="3:37" ht="30" customHeight="1" x14ac:dyDescent="0.25">
      <c r="C17" s="118"/>
      <c r="O17" s="121" t="s">
        <v>30</v>
      </c>
      <c r="P17" s="116" t="e" cm="1">
        <f t="array" aca="1" ref="P17" ca="1">$P$16:P$16/P$16*100</f>
        <v>#REF!</v>
      </c>
      <c r="Q17" s="116" t="e">
        <f ca="1">Q16/P16*100</f>
        <v>#REF!</v>
      </c>
      <c r="R17" s="116" t="e">
        <f ca="1">R16/P16*100</f>
        <v>#REF!</v>
      </c>
      <c r="S17" s="121" t="s">
        <v>30</v>
      </c>
    </row>
    <row r="18" spans="3:37" ht="21.75" customHeight="1" x14ac:dyDescent="0.25">
      <c r="C18" s="118"/>
      <c r="R18" s="119" t="str">
        <f>"Trefftabell "&amp;TEXT('Heder &amp; Ære'!$C$4,"dddd, dd.mm.åååå")</f>
        <v>Trefftabell lørdag, 00.01.1900</v>
      </c>
    </row>
    <row r="19" spans="3:37" ht="21.75" customHeight="1" x14ac:dyDescent="0.25">
      <c r="C19" s="118"/>
    </row>
    <row r="20" spans="3:37" x14ac:dyDescent="0.25"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spans="3:37" x14ac:dyDescent="0.25">
      <c r="C21" s="120"/>
      <c r="M21" s="81"/>
      <c r="N21" s="81"/>
    </row>
    <row r="22" spans="3:37" x14ac:dyDescent="0.25">
      <c r="C22" s="120"/>
      <c r="M22" s="81"/>
      <c r="N22" s="81"/>
    </row>
    <row r="23" spans="3:37" x14ac:dyDescent="0.25">
      <c r="C23" s="120"/>
      <c r="M23" s="81"/>
      <c r="N23" s="81"/>
    </row>
    <row r="24" spans="3:37" x14ac:dyDescent="0.25">
      <c r="C24" s="120"/>
      <c r="M24" s="81"/>
      <c r="N24" s="81"/>
    </row>
    <row r="25" spans="3:37" x14ac:dyDescent="0.25">
      <c r="C25" s="120"/>
      <c r="M25" s="81"/>
      <c r="N25" s="81"/>
    </row>
    <row r="26" spans="3:37" x14ac:dyDescent="0.25">
      <c r="C26" s="120"/>
      <c r="M26" s="81"/>
      <c r="N26" s="81"/>
    </row>
    <row r="27" spans="3:37" x14ac:dyDescent="0.25">
      <c r="C27" s="120"/>
      <c r="M27" s="81"/>
      <c r="N27" s="81"/>
    </row>
    <row r="28" spans="3:37" x14ac:dyDescent="0.25">
      <c r="C28" s="120"/>
      <c r="M28" s="81"/>
      <c r="N28" s="81"/>
    </row>
    <row r="29" spans="3:37" x14ac:dyDescent="0.25">
      <c r="C29" s="120"/>
      <c r="M29" s="81"/>
      <c r="N29" s="81"/>
    </row>
  </sheetData>
  <sheetProtection selectLockedCells="1"/>
  <conditionalFormatting sqref="D5:D13">
    <cfRule type="expression" dxfId="7" priority="18">
      <formula>D5=LARGE($D$5:$D$13,1)</formula>
    </cfRule>
  </conditionalFormatting>
  <conditionalFormatting sqref="E5:E13">
    <cfRule type="expression" dxfId="6" priority="20">
      <formula>E5=SMALL(E$5:E$11,1)</formula>
    </cfRule>
  </conditionalFormatting>
  <conditionalFormatting sqref="F5:F13">
    <cfRule type="expression" dxfId="5" priority="17">
      <formula>F5=LARGE($F$5:$F$13,1)</formula>
    </cfRule>
  </conditionalFormatting>
  <conditionalFormatting sqref="G5:N13">
    <cfRule type="expression" dxfId="4" priority="9">
      <formula>G5=LARGE(G$5:G$13,1)</formula>
    </cfRule>
  </conditionalFormatting>
  <conditionalFormatting sqref="O5:O13">
    <cfRule type="expression" dxfId="3" priority="8">
      <formula>O5=SMALL(O$5:O$11,1)</formula>
    </cfRule>
  </conditionalFormatting>
  <conditionalFormatting sqref="P5:U13">
    <cfRule type="expression" dxfId="2" priority="2">
      <formula>P5=LARGE(P$5:P$13,1)</formula>
    </cfRule>
  </conditionalFormatting>
  <conditionalFormatting sqref="W5:W13">
    <cfRule type="expression" dxfId="1" priority="1">
      <formula>W5=SMALL(W$5:W$11,1)</formula>
    </cfRule>
  </conditionalFormatting>
  <conditionalFormatting sqref="X5:X13">
    <cfRule type="expression" dxfId="0" priority="19">
      <formula>X5=LARGE(X$5:X$11,1)</formula>
    </cfRule>
  </conditionalFormatting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15B66A94-4EEC-403A-9554-31C92B2E3CF2}">
          <xm:f>#REF!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51F8B-EF42-4302-B99D-149A866FFD79}">
  <dimension ref="A1:O10"/>
  <sheetViews>
    <sheetView tabSelected="1" workbookViewId="0">
      <selection activeCell="G1" sqref="G1:H1048576"/>
    </sheetView>
  </sheetViews>
  <sheetFormatPr baseColWidth="10" defaultRowHeight="12.75" x14ac:dyDescent="0.2"/>
  <sheetData>
    <row r="1" spans="1:15" x14ac:dyDescent="0.2">
      <c r="A1" t="s">
        <v>98</v>
      </c>
      <c r="B1" t="s">
        <v>16</v>
      </c>
      <c r="C1" t="s">
        <v>17</v>
      </c>
      <c r="D1" t="s">
        <v>18</v>
      </c>
      <c r="E1" t="s">
        <v>15</v>
      </c>
      <c r="F1" t="s">
        <v>49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99</v>
      </c>
    </row>
    <row r="2" spans="1:15" x14ac:dyDescent="0.2">
      <c r="A2" t="s">
        <v>26</v>
      </c>
      <c r="B2">
        <v>9425</v>
      </c>
      <c r="C2">
        <v>0</v>
      </c>
      <c r="D2">
        <v>4047</v>
      </c>
      <c r="E2">
        <v>0</v>
      </c>
      <c r="F2">
        <v>13472</v>
      </c>
      <c r="G2">
        <v>13472</v>
      </c>
      <c r="H2">
        <v>0</v>
      </c>
      <c r="I2">
        <v>0</v>
      </c>
      <c r="J2">
        <v>1</v>
      </c>
      <c r="K2">
        <v>0</v>
      </c>
      <c r="L2">
        <v>0</v>
      </c>
      <c r="M2">
        <v>58</v>
      </c>
      <c r="N2">
        <v>58</v>
      </c>
      <c r="O2">
        <v>13530</v>
      </c>
    </row>
    <row r="3" spans="1:15" x14ac:dyDescent="0.2">
      <c r="A3" t="s">
        <v>21</v>
      </c>
      <c r="B3">
        <v>8060</v>
      </c>
      <c r="C3">
        <v>1554</v>
      </c>
      <c r="D3">
        <v>3621</v>
      </c>
      <c r="E3">
        <v>0</v>
      </c>
      <c r="F3">
        <v>13235</v>
      </c>
      <c r="G3">
        <v>13235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13235</v>
      </c>
    </row>
    <row r="4" spans="1:15" x14ac:dyDescent="0.2">
      <c r="A4" t="s">
        <v>23</v>
      </c>
      <c r="B4">
        <v>8970</v>
      </c>
      <c r="C4">
        <v>0</v>
      </c>
      <c r="D4">
        <v>3550</v>
      </c>
      <c r="E4">
        <v>-50</v>
      </c>
      <c r="F4">
        <v>12470</v>
      </c>
      <c r="G4">
        <v>12470</v>
      </c>
      <c r="H4">
        <v>0</v>
      </c>
      <c r="I4">
        <v>0</v>
      </c>
      <c r="J4">
        <v>2</v>
      </c>
      <c r="K4">
        <v>0</v>
      </c>
      <c r="L4">
        <v>0</v>
      </c>
      <c r="M4">
        <v>116</v>
      </c>
      <c r="N4">
        <v>116</v>
      </c>
      <c r="O4">
        <v>12586</v>
      </c>
    </row>
    <row r="5" spans="1:15" x14ac:dyDescent="0.2">
      <c r="A5" t="s">
        <v>22</v>
      </c>
      <c r="B5">
        <v>7670</v>
      </c>
      <c r="C5">
        <v>444</v>
      </c>
      <c r="D5">
        <v>4473</v>
      </c>
      <c r="E5">
        <v>-50</v>
      </c>
      <c r="F5">
        <v>12537</v>
      </c>
      <c r="G5">
        <v>12537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12537</v>
      </c>
    </row>
    <row r="6" spans="1:15" x14ac:dyDescent="0.2">
      <c r="A6" t="s">
        <v>20</v>
      </c>
      <c r="B6">
        <v>8905</v>
      </c>
      <c r="C6">
        <v>296</v>
      </c>
      <c r="D6">
        <v>3337</v>
      </c>
      <c r="E6">
        <v>-100</v>
      </c>
      <c r="F6">
        <v>12438</v>
      </c>
      <c r="G6">
        <v>12438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12438</v>
      </c>
    </row>
    <row r="7" spans="1:15" x14ac:dyDescent="0.2">
      <c r="A7" t="s">
        <v>27</v>
      </c>
      <c r="B7">
        <v>8320</v>
      </c>
      <c r="C7">
        <v>592</v>
      </c>
      <c r="D7">
        <v>3479</v>
      </c>
      <c r="E7">
        <v>0</v>
      </c>
      <c r="F7">
        <v>12391</v>
      </c>
      <c r="G7">
        <v>12391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12391</v>
      </c>
    </row>
    <row r="8" spans="1:15" x14ac:dyDescent="0.2">
      <c r="A8" t="s">
        <v>25</v>
      </c>
      <c r="B8">
        <v>8190</v>
      </c>
      <c r="C8">
        <v>814</v>
      </c>
      <c r="D8">
        <v>3479</v>
      </c>
      <c r="E8">
        <v>-500</v>
      </c>
      <c r="F8">
        <v>11983</v>
      </c>
      <c r="G8">
        <v>11983</v>
      </c>
      <c r="H8">
        <v>0</v>
      </c>
      <c r="I8">
        <v>1</v>
      </c>
      <c r="J8">
        <v>1</v>
      </c>
      <c r="K8">
        <v>0</v>
      </c>
      <c r="L8">
        <v>161</v>
      </c>
      <c r="M8">
        <v>58</v>
      </c>
      <c r="N8">
        <v>219</v>
      </c>
      <c r="O8">
        <v>12202</v>
      </c>
    </row>
    <row r="9" spans="1:15" x14ac:dyDescent="0.2">
      <c r="A9" t="s">
        <v>19</v>
      </c>
      <c r="B9">
        <v>8970</v>
      </c>
      <c r="C9">
        <v>740</v>
      </c>
      <c r="D9">
        <v>2130</v>
      </c>
      <c r="E9">
        <v>0</v>
      </c>
      <c r="F9">
        <v>11840</v>
      </c>
      <c r="G9">
        <v>11840</v>
      </c>
      <c r="H9">
        <v>0</v>
      </c>
      <c r="I9">
        <v>0</v>
      </c>
      <c r="J9">
        <v>1</v>
      </c>
      <c r="K9">
        <v>0</v>
      </c>
      <c r="L9">
        <v>0</v>
      </c>
      <c r="M9">
        <v>58</v>
      </c>
      <c r="N9">
        <v>58</v>
      </c>
      <c r="O9">
        <v>11898</v>
      </c>
    </row>
    <row r="10" spans="1:15" x14ac:dyDescent="0.2">
      <c r="A10" t="s">
        <v>24</v>
      </c>
      <c r="B10">
        <v>6045</v>
      </c>
      <c r="C10">
        <v>1036</v>
      </c>
      <c r="D10">
        <v>4473</v>
      </c>
      <c r="E10">
        <v>-50</v>
      </c>
      <c r="F10">
        <v>11504</v>
      </c>
      <c r="G10">
        <v>11504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740D1-0536-491F-B6FA-4873BABD9938}">
  <sheetPr codeName="Ark4">
    <tabColor rgb="FFC00000"/>
  </sheetPr>
  <dimension ref="B2:CD72"/>
  <sheetViews>
    <sheetView showGridLines="0" topLeftCell="A41" workbookViewId="0">
      <selection activeCell="H16" sqref="H16"/>
    </sheetView>
  </sheetViews>
  <sheetFormatPr baseColWidth="10" defaultColWidth="11.42578125" defaultRowHeight="12.75" x14ac:dyDescent="0.2"/>
  <cols>
    <col min="1" max="1" width="11.42578125" style="7"/>
    <col min="2" max="12" width="11.42578125" style="7" customWidth="1"/>
    <col min="13" max="16384" width="11.42578125" style="7"/>
  </cols>
  <sheetData>
    <row r="2" spans="2:82" x14ac:dyDescent="0.2">
      <c r="C2" s="40"/>
      <c r="D2" s="41">
        <v>80</v>
      </c>
      <c r="E2" s="41"/>
      <c r="F2" s="42"/>
      <c r="G2" s="43"/>
      <c r="H2" s="41"/>
      <c r="I2" s="42"/>
      <c r="J2" s="43"/>
      <c r="K2" s="41"/>
      <c r="L2" s="42"/>
      <c r="M2" s="40"/>
      <c r="N2" s="41">
        <v>70</v>
      </c>
      <c r="O2" s="41"/>
      <c r="P2" s="42"/>
      <c r="Q2" s="43"/>
      <c r="R2" s="41"/>
      <c r="S2" s="42"/>
      <c r="T2" s="43"/>
      <c r="U2" s="41"/>
      <c r="V2" s="42"/>
      <c r="W2" s="40"/>
      <c r="X2" s="41">
        <v>60</v>
      </c>
      <c r="Y2" s="41"/>
      <c r="Z2" s="42"/>
      <c r="AA2" s="43"/>
      <c r="AB2" s="41"/>
      <c r="AC2" s="42"/>
      <c r="AD2" s="43"/>
      <c r="AE2" s="41"/>
      <c r="AF2" s="42"/>
      <c r="AG2" s="40"/>
      <c r="AH2" s="41">
        <v>50</v>
      </c>
      <c r="AI2" s="41"/>
      <c r="AJ2" s="42"/>
      <c r="AK2" s="43"/>
      <c r="AL2" s="41"/>
      <c r="AM2" s="42"/>
      <c r="AN2" s="43"/>
      <c r="AO2" s="41"/>
      <c r="AP2" s="42"/>
      <c r="AQ2" s="40"/>
      <c r="AR2" s="41">
        <v>40</v>
      </c>
      <c r="AS2" s="41"/>
      <c r="AT2" s="42"/>
      <c r="AU2" s="43"/>
      <c r="AV2" s="41"/>
      <c r="AW2" s="42"/>
      <c r="AX2" s="43"/>
      <c r="AY2" s="41"/>
      <c r="AZ2" s="42"/>
      <c r="BA2" s="40"/>
      <c r="BB2" s="41">
        <v>30</v>
      </c>
      <c r="BC2" s="41"/>
      <c r="BD2" s="42"/>
      <c r="BE2" s="43"/>
      <c r="BF2" s="41"/>
      <c r="BG2" s="42"/>
      <c r="BH2" s="43"/>
      <c r="BI2" s="41"/>
      <c r="BJ2" s="42"/>
      <c r="BK2" s="40"/>
      <c r="BL2" s="41">
        <v>20</v>
      </c>
      <c r="BM2" s="41"/>
      <c r="BN2" s="42"/>
      <c r="BO2" s="43"/>
      <c r="BP2" s="41"/>
      <c r="BQ2" s="42"/>
      <c r="BR2" s="43"/>
      <c r="BS2" s="41"/>
      <c r="BT2" s="42"/>
      <c r="BU2" s="40"/>
      <c r="BV2" s="41">
        <v>10</v>
      </c>
      <c r="BW2" s="41"/>
      <c r="BX2" s="42"/>
      <c r="BY2" s="43"/>
      <c r="BZ2" s="41"/>
      <c r="CA2" s="42"/>
      <c r="CB2" s="43"/>
      <c r="CC2" s="41"/>
      <c r="CD2" s="42"/>
    </row>
    <row r="3" spans="2:82" x14ac:dyDescent="0.2">
      <c r="C3" s="44"/>
      <c r="D3" s="45" t="s">
        <v>36</v>
      </c>
      <c r="E3" s="45"/>
      <c r="F3" s="46"/>
      <c r="G3" s="47"/>
      <c r="H3" s="45"/>
      <c r="I3" s="46"/>
      <c r="J3" s="47"/>
      <c r="K3" s="45"/>
      <c r="L3" s="46"/>
      <c r="M3" s="44"/>
      <c r="N3" s="45" t="s">
        <v>36</v>
      </c>
      <c r="O3" s="45"/>
      <c r="P3" s="46"/>
      <c r="Q3" s="47"/>
      <c r="R3" s="45"/>
      <c r="S3" s="46"/>
      <c r="T3" s="47"/>
      <c r="U3" s="45"/>
      <c r="V3" s="46"/>
      <c r="W3" s="44"/>
      <c r="X3" s="45" t="s">
        <v>36</v>
      </c>
      <c r="Y3" s="45"/>
      <c r="Z3" s="46"/>
      <c r="AA3" s="47"/>
      <c r="AB3" s="45"/>
      <c r="AC3" s="46"/>
      <c r="AD3" s="47"/>
      <c r="AE3" s="45"/>
      <c r="AF3" s="46"/>
      <c r="AG3" s="44"/>
      <c r="AH3" s="45" t="s">
        <v>36</v>
      </c>
      <c r="AI3" s="45"/>
      <c r="AJ3" s="46"/>
      <c r="AK3" s="47"/>
      <c r="AL3" s="45"/>
      <c r="AM3" s="46"/>
      <c r="AN3" s="47"/>
      <c r="AO3" s="45"/>
      <c r="AP3" s="46"/>
      <c r="AQ3" s="44"/>
      <c r="AR3" s="45" t="s">
        <v>36</v>
      </c>
      <c r="AS3" s="45"/>
      <c r="AT3" s="46"/>
      <c r="AU3" s="47"/>
      <c r="AV3" s="45"/>
      <c r="AW3" s="46"/>
      <c r="AX3" s="47"/>
      <c r="AY3" s="45"/>
      <c r="AZ3" s="46"/>
      <c r="BA3" s="44"/>
      <c r="BB3" s="45" t="s">
        <v>36</v>
      </c>
      <c r="BC3" s="45"/>
      <c r="BD3" s="46"/>
      <c r="BE3" s="47"/>
      <c r="BF3" s="45"/>
      <c r="BG3" s="46"/>
      <c r="BH3" s="47"/>
      <c r="BI3" s="45"/>
      <c r="BJ3" s="46"/>
      <c r="BK3" s="44"/>
      <c r="BL3" s="45" t="s">
        <v>36</v>
      </c>
      <c r="BM3" s="45"/>
      <c r="BN3" s="46"/>
      <c r="BO3" s="47"/>
      <c r="BP3" s="45"/>
      <c r="BQ3" s="46"/>
      <c r="BR3" s="47"/>
      <c r="BS3" s="45"/>
      <c r="BT3" s="46"/>
      <c r="BU3" s="44"/>
      <c r="BV3" s="45" t="s">
        <v>36</v>
      </c>
      <c r="BW3" s="45"/>
      <c r="BX3" s="46"/>
      <c r="BY3" s="47"/>
      <c r="BZ3" s="45"/>
      <c r="CA3" s="46"/>
      <c r="CB3" s="47"/>
      <c r="CC3" s="45"/>
      <c r="CD3" s="46"/>
    </row>
    <row r="4" spans="2:82" x14ac:dyDescent="0.2">
      <c r="C4" s="48"/>
      <c r="D4" s="49" t="s">
        <v>33</v>
      </c>
      <c r="E4" s="49" t="s">
        <v>41</v>
      </c>
      <c r="F4" s="50" t="s">
        <v>39</v>
      </c>
      <c r="G4" s="51" t="s">
        <v>34</v>
      </c>
      <c r="H4" s="49" t="s">
        <v>41</v>
      </c>
      <c r="I4" s="50" t="s">
        <v>39</v>
      </c>
      <c r="J4" s="51" t="s">
        <v>35</v>
      </c>
      <c r="K4" s="49" t="s">
        <v>41</v>
      </c>
      <c r="L4" s="50" t="s">
        <v>39</v>
      </c>
      <c r="M4" s="48"/>
      <c r="N4" s="49" t="s">
        <v>33</v>
      </c>
      <c r="O4" s="49" t="s">
        <v>41</v>
      </c>
      <c r="P4" s="50" t="s">
        <v>39</v>
      </c>
      <c r="Q4" s="51" t="s">
        <v>34</v>
      </c>
      <c r="R4" s="49" t="s">
        <v>41</v>
      </c>
      <c r="S4" s="50" t="s">
        <v>39</v>
      </c>
      <c r="T4" s="51" t="s">
        <v>35</v>
      </c>
      <c r="U4" s="49" t="s">
        <v>41</v>
      </c>
      <c r="V4" s="50" t="s">
        <v>39</v>
      </c>
      <c r="W4" s="48"/>
      <c r="X4" s="49" t="s">
        <v>33</v>
      </c>
      <c r="Y4" s="49" t="s">
        <v>41</v>
      </c>
      <c r="Z4" s="50" t="s">
        <v>39</v>
      </c>
      <c r="AA4" s="51" t="s">
        <v>34</v>
      </c>
      <c r="AB4" s="49" t="s">
        <v>41</v>
      </c>
      <c r="AC4" s="50" t="s">
        <v>39</v>
      </c>
      <c r="AD4" s="51" t="s">
        <v>35</v>
      </c>
      <c r="AE4" s="49" t="s">
        <v>41</v>
      </c>
      <c r="AF4" s="50" t="s">
        <v>39</v>
      </c>
      <c r="AG4" s="48"/>
      <c r="AH4" s="49" t="s">
        <v>33</v>
      </c>
      <c r="AI4" s="49" t="s">
        <v>41</v>
      </c>
      <c r="AJ4" s="50" t="s">
        <v>39</v>
      </c>
      <c r="AK4" s="51" t="s">
        <v>34</v>
      </c>
      <c r="AL4" s="49" t="s">
        <v>41</v>
      </c>
      <c r="AM4" s="50" t="s">
        <v>39</v>
      </c>
      <c r="AN4" s="51" t="s">
        <v>35</v>
      </c>
      <c r="AO4" s="49" t="s">
        <v>41</v>
      </c>
      <c r="AP4" s="50" t="s">
        <v>39</v>
      </c>
      <c r="AQ4" s="48"/>
      <c r="AR4" s="49" t="s">
        <v>33</v>
      </c>
      <c r="AS4" s="49" t="s">
        <v>41</v>
      </c>
      <c r="AT4" s="50" t="s">
        <v>39</v>
      </c>
      <c r="AU4" s="51" t="s">
        <v>34</v>
      </c>
      <c r="AV4" s="49" t="s">
        <v>41</v>
      </c>
      <c r="AW4" s="50" t="s">
        <v>39</v>
      </c>
      <c r="AX4" s="51" t="s">
        <v>35</v>
      </c>
      <c r="AY4" s="49" t="s">
        <v>41</v>
      </c>
      <c r="AZ4" s="50" t="s">
        <v>39</v>
      </c>
      <c r="BA4" s="48"/>
      <c r="BB4" s="49" t="s">
        <v>33</v>
      </c>
      <c r="BC4" s="49" t="s">
        <v>41</v>
      </c>
      <c r="BD4" s="50" t="s">
        <v>39</v>
      </c>
      <c r="BE4" s="51" t="s">
        <v>34</v>
      </c>
      <c r="BF4" s="49" t="s">
        <v>41</v>
      </c>
      <c r="BG4" s="50" t="s">
        <v>39</v>
      </c>
      <c r="BH4" s="51" t="s">
        <v>35</v>
      </c>
      <c r="BI4" s="49" t="s">
        <v>41</v>
      </c>
      <c r="BJ4" s="50" t="s">
        <v>39</v>
      </c>
      <c r="BK4" s="48"/>
      <c r="BL4" s="49" t="s">
        <v>33</v>
      </c>
      <c r="BM4" s="49" t="s">
        <v>41</v>
      </c>
      <c r="BN4" s="50" t="s">
        <v>39</v>
      </c>
      <c r="BO4" s="51" t="s">
        <v>34</v>
      </c>
      <c r="BP4" s="49" t="s">
        <v>41</v>
      </c>
      <c r="BQ4" s="50" t="s">
        <v>39</v>
      </c>
      <c r="BR4" s="51" t="s">
        <v>35</v>
      </c>
      <c r="BS4" s="49" t="s">
        <v>41</v>
      </c>
      <c r="BT4" s="50" t="s">
        <v>39</v>
      </c>
      <c r="BU4" s="48"/>
      <c r="BV4" s="49" t="s">
        <v>33</v>
      </c>
      <c r="BW4" s="49" t="s">
        <v>41</v>
      </c>
      <c r="BX4" s="50" t="s">
        <v>39</v>
      </c>
      <c r="BY4" s="51" t="s">
        <v>34</v>
      </c>
      <c r="BZ4" s="49" t="s">
        <v>41</v>
      </c>
      <c r="CA4" s="50" t="s">
        <v>39</v>
      </c>
      <c r="CB4" s="51" t="s">
        <v>35</v>
      </c>
      <c r="CC4" s="49" t="s">
        <v>41</v>
      </c>
      <c r="CD4" s="50" t="s">
        <v>39</v>
      </c>
    </row>
    <row r="5" spans="2:82" x14ac:dyDescent="0.2">
      <c r="C5" s="52" t="s">
        <v>20</v>
      </c>
      <c r="D5" s="8">
        <f>IFERROR(COUNTIF(#REF!,D$2),0)</f>
        <v>0</v>
      </c>
      <c r="E5" s="8">
        <f>IFERROR(COUNTIF(#REF!,Analyse!D$2),0)</f>
        <v>0</v>
      </c>
      <c r="F5" s="53">
        <f t="shared" ref="F5:F13" si="0">IFERROR(D5/E5,0)</f>
        <v>0</v>
      </c>
      <c r="G5" s="54">
        <f>IFERROR(COUNTIF(#REF!,D$2),0)</f>
        <v>0</v>
      </c>
      <c r="H5" s="8">
        <f>IFERROR(COUNTIF(#REF!,Analyse!D$2),0)</f>
        <v>0</v>
      </c>
      <c r="I5" s="53">
        <f>IFERROR(G5/H5,0)</f>
        <v>0</v>
      </c>
      <c r="J5" s="54">
        <f>IFERROR(COUNTIF(#REF!,D$2),0)</f>
        <v>0</v>
      </c>
      <c r="K5" s="8">
        <f>IFERROR(COUNTIF(#REF!,Analyse!D$2),0)</f>
        <v>0</v>
      </c>
      <c r="L5" s="53">
        <f>IFERROR(J5/K5,0)</f>
        <v>0</v>
      </c>
      <c r="M5" s="52" t="s">
        <v>20</v>
      </c>
      <c r="N5" s="8">
        <f>IFERROR(COUNTIF(#REF!,N$2),0)</f>
        <v>0</v>
      </c>
      <c r="O5" s="8">
        <f>IFERROR(COUNTIF(#REF!,Analyse!N$2),0)</f>
        <v>0</v>
      </c>
      <c r="P5" s="53">
        <f t="shared" ref="P5:P13" si="1">IFERROR(N5/O5,0)</f>
        <v>0</v>
      </c>
      <c r="Q5" s="54">
        <f>IFERROR(COUNTIF(#REF!,N$2),0)</f>
        <v>0</v>
      </c>
      <c r="R5" s="8">
        <f>IFERROR(COUNTIF(#REF!,Analyse!N$2),0)</f>
        <v>0</v>
      </c>
      <c r="S5" s="53">
        <f>IFERROR(Q5/R5,0)</f>
        <v>0</v>
      </c>
      <c r="T5" s="54">
        <f>IFERROR(COUNTIF(#REF!,N$2),0)</f>
        <v>0</v>
      </c>
      <c r="U5" s="8">
        <f>IFERROR(COUNTIF(#REF!,Analyse!N$2),0)</f>
        <v>0</v>
      </c>
      <c r="V5" s="53">
        <f>IFERROR(T5/U5,0)</f>
        <v>0</v>
      </c>
      <c r="W5" s="52" t="s">
        <v>19</v>
      </c>
      <c r="X5" s="8">
        <f>IFERROR(COUNTIF(#REF!,X$2),0)</f>
        <v>0</v>
      </c>
      <c r="Y5" s="8">
        <f>IFERROR(COUNTIF(#REF!,Analyse!X$2),0)</f>
        <v>0</v>
      </c>
      <c r="Z5" s="53">
        <f t="shared" ref="Z5:Z13" si="2">IFERROR(X5/Y5,0)</f>
        <v>0</v>
      </c>
      <c r="AA5" s="54">
        <f>IFERROR(COUNTIF(#REF!,X$2),0)</f>
        <v>0</v>
      </c>
      <c r="AB5" s="8">
        <f>IFERROR(COUNTIF(#REF!,Analyse!X$2),0)</f>
        <v>0</v>
      </c>
      <c r="AC5" s="53">
        <f>IFERROR(AA5/AB5,0)</f>
        <v>0</v>
      </c>
      <c r="AD5" s="54">
        <f>IFERROR(COUNTIF(#REF!,X$2),0)</f>
        <v>0</v>
      </c>
      <c r="AE5" s="8">
        <f>IFERROR(COUNTIF(#REF!,Analyse!X$2),0)</f>
        <v>0</v>
      </c>
      <c r="AF5" s="53">
        <f>IFERROR(AD5/AE5,0)</f>
        <v>0</v>
      </c>
      <c r="AG5" s="52" t="s">
        <v>24</v>
      </c>
      <c r="AH5" s="8">
        <f>IFERROR(COUNTIF(#REF!,AH$2),0)</f>
        <v>0</v>
      </c>
      <c r="AI5" s="8">
        <f>IFERROR(COUNTIF(#REF!,Analyse!AH$2),0)</f>
        <v>0</v>
      </c>
      <c r="AJ5" s="53">
        <f t="shared" ref="AJ5:AJ13" si="3">IFERROR(AH5/AI5,0)</f>
        <v>0</v>
      </c>
      <c r="AK5" s="54">
        <f>IFERROR(COUNTIF(#REF!,AH$2),0)</f>
        <v>0</v>
      </c>
      <c r="AL5" s="8">
        <f>IFERROR(COUNTIF(#REF!,Analyse!AH$2),0)</f>
        <v>0</v>
      </c>
      <c r="AM5" s="53">
        <f>IFERROR(AK5/AL5,0)</f>
        <v>0</v>
      </c>
      <c r="AN5" s="54">
        <f>IFERROR(COUNTIF(#REF!,AH$2),0)</f>
        <v>0</v>
      </c>
      <c r="AO5" s="8">
        <f>IFERROR(COUNTIF(#REF!,Analyse!AH$2),0)</f>
        <v>0</v>
      </c>
      <c r="AP5" s="53">
        <f>IFERROR(AN5/AO5,0)</f>
        <v>0</v>
      </c>
      <c r="AQ5" s="52" t="s">
        <v>25</v>
      </c>
      <c r="AR5" s="8">
        <f>IFERROR(COUNTIF(#REF!,AR$2),0)</f>
        <v>0</v>
      </c>
      <c r="AS5" s="8">
        <f>IFERROR(COUNTIF(#REF!,Analyse!AR$2),0)</f>
        <v>0</v>
      </c>
      <c r="AT5" s="53">
        <f t="shared" ref="AT5:AT13" si="4">IFERROR(AR5/AS5,0)</f>
        <v>0</v>
      </c>
      <c r="AU5" s="54">
        <f>IFERROR(COUNTIF(#REF!,AR$2),0)</f>
        <v>0</v>
      </c>
      <c r="AV5" s="8">
        <f>IFERROR(COUNTIF(#REF!,Analyse!AR$2),0)</f>
        <v>0</v>
      </c>
      <c r="AW5" s="53">
        <f>IFERROR(AU5/AV5,0)</f>
        <v>0</v>
      </c>
      <c r="AX5" s="54">
        <f>IFERROR(COUNTIF(#REF!,AR$2),0)</f>
        <v>0</v>
      </c>
      <c r="AY5" s="8">
        <f>IFERROR(COUNTIF(#REF!,Analyse!AR$2),0)</f>
        <v>0</v>
      </c>
      <c r="AZ5" s="53">
        <f>IFERROR(AX5/AY5,0)</f>
        <v>0</v>
      </c>
      <c r="BA5" s="52" t="s">
        <v>21</v>
      </c>
      <c r="BB5" s="8">
        <f>IFERROR(COUNTIF(#REF!,BB$2),0)</f>
        <v>0</v>
      </c>
      <c r="BC5" s="8">
        <f>IFERROR(COUNTIF(#REF!,Analyse!BB$2),0)</f>
        <v>0</v>
      </c>
      <c r="BD5" s="53">
        <f t="shared" ref="BD5:BD13" si="5">IFERROR(BB5/BC5,0)</f>
        <v>0</v>
      </c>
      <c r="BE5" s="54">
        <f>IFERROR(COUNTIF(#REF!,BB$2),0)</f>
        <v>0</v>
      </c>
      <c r="BF5" s="8">
        <f>IFERROR(COUNTIF(#REF!,Analyse!BB$2),0)</f>
        <v>0</v>
      </c>
      <c r="BG5" s="53">
        <f>IFERROR(BE5/BF5,0)</f>
        <v>0</v>
      </c>
      <c r="BH5" s="54">
        <f>IFERROR(COUNTIF(#REF!,BB$2),0)</f>
        <v>0</v>
      </c>
      <c r="BI5" s="8">
        <f>IFERROR(COUNTIF(#REF!,Analyse!BB$2),0)</f>
        <v>0</v>
      </c>
      <c r="BJ5" s="53">
        <f>IFERROR(BH5/BI5,0)</f>
        <v>0</v>
      </c>
      <c r="BK5" s="52" t="s">
        <v>22</v>
      </c>
      <c r="BL5" s="8">
        <f>IFERROR(COUNTIF(#REF!,BL$2),0)</f>
        <v>0</v>
      </c>
      <c r="BM5" s="8">
        <f>IFERROR(COUNTIF(#REF!,Analyse!BL$2),0)</f>
        <v>0</v>
      </c>
      <c r="BN5" s="53">
        <f t="shared" ref="BN5:BN13" si="6">IFERROR(BL5/BM5,0)</f>
        <v>0</v>
      </c>
      <c r="BO5" s="54">
        <f>IFERROR(COUNTIF(#REF!,BL$2),0)</f>
        <v>0</v>
      </c>
      <c r="BP5" s="8">
        <f>IFERROR(COUNTIF(#REF!,Analyse!BL$2),0)</f>
        <v>0</v>
      </c>
      <c r="BQ5" s="53">
        <f>IFERROR(BO5/BP5,0)</f>
        <v>0</v>
      </c>
      <c r="BR5" s="54">
        <f>IFERROR(COUNTIF(#REF!,BL$2),0)</f>
        <v>0</v>
      </c>
      <c r="BS5" s="8">
        <f>IFERROR(COUNTIF(#REF!,Analyse!BL$2),0)</f>
        <v>0</v>
      </c>
      <c r="BT5" s="53">
        <f>IFERROR(BR5/BS5,0)</f>
        <v>0</v>
      </c>
      <c r="BU5" s="52" t="s">
        <v>19</v>
      </c>
      <c r="BV5" s="8">
        <f>IFERROR(COUNTIF(#REF!,BV$2),0)</f>
        <v>0</v>
      </c>
      <c r="BW5" s="8">
        <f>IFERROR(COUNTIF(#REF!,Analyse!BV$2),0)</f>
        <v>0</v>
      </c>
      <c r="BX5" s="53">
        <f t="shared" ref="BX5:BX13" si="7">IFERROR(BV5/BW5,0)</f>
        <v>0</v>
      </c>
      <c r="BY5" s="54">
        <f>IFERROR(COUNTIF(#REF!,BV$2),0)</f>
        <v>0</v>
      </c>
      <c r="BZ5" s="8">
        <f>IFERROR(COUNTIF(#REF!,Analyse!BV$2),0)</f>
        <v>0</v>
      </c>
      <c r="CA5" s="53">
        <f>IFERROR(BY5/BZ5,0)</f>
        <v>0</v>
      </c>
      <c r="CB5" s="54">
        <f>IFERROR(COUNTIF(#REF!,BV$2),0)</f>
        <v>0</v>
      </c>
      <c r="CC5" s="8">
        <f>IFERROR(COUNTIF(#REF!,Analyse!BV$2),0)</f>
        <v>0</v>
      </c>
      <c r="CD5" s="53">
        <f>IFERROR(CB5/CC5,0)</f>
        <v>0</v>
      </c>
    </row>
    <row r="6" spans="2:82" x14ac:dyDescent="0.2">
      <c r="C6" s="52" t="s">
        <v>25</v>
      </c>
      <c r="D6" s="8">
        <f>IFERROR(COUNTIF(#REF!,D$2),0)</f>
        <v>0</v>
      </c>
      <c r="E6" s="8">
        <f>IFERROR(COUNTIF(#REF!,Analyse!D$2),0)</f>
        <v>0</v>
      </c>
      <c r="F6" s="53">
        <f t="shared" si="0"/>
        <v>0</v>
      </c>
      <c r="G6" s="54">
        <f>IFERROR(COUNTIF(#REF!,D$2),0)</f>
        <v>0</v>
      </c>
      <c r="H6" s="8">
        <f>IFERROR(COUNTIF(#REF!,Analyse!D$2),0)</f>
        <v>0</v>
      </c>
      <c r="I6" s="53">
        <f t="shared" ref="I6:I13" si="8">IFERROR(G6/H6,0)</f>
        <v>0</v>
      </c>
      <c r="J6" s="54">
        <f>IFERROR(COUNTIF(#REF!,D$2),0)</f>
        <v>0</v>
      </c>
      <c r="K6" s="8">
        <f>IFERROR(COUNTIF(#REF!,Analyse!D$2),0)</f>
        <v>0</v>
      </c>
      <c r="L6" s="53">
        <f t="shared" ref="L6:L13" si="9">IFERROR(J6/K6,0)</f>
        <v>0</v>
      </c>
      <c r="M6" s="52" t="s">
        <v>22</v>
      </c>
      <c r="N6" s="8">
        <f>IFERROR(COUNTIF(#REF!,N$2),0)</f>
        <v>0</v>
      </c>
      <c r="O6" s="8">
        <f>IFERROR(COUNTIF(#REF!,Analyse!N$2),0)</f>
        <v>0</v>
      </c>
      <c r="P6" s="53">
        <f t="shared" si="1"/>
        <v>0</v>
      </c>
      <c r="Q6" s="54">
        <f>IFERROR(COUNTIF(#REF!,N$2),0)</f>
        <v>0</v>
      </c>
      <c r="R6" s="8">
        <f>IFERROR(COUNTIF(#REF!,Analyse!N$2),0)</f>
        <v>0</v>
      </c>
      <c r="S6" s="53">
        <f t="shared" ref="S6:S13" si="10">IFERROR(Q6/R6,0)</f>
        <v>0</v>
      </c>
      <c r="T6" s="54">
        <f>IFERROR(COUNTIF(#REF!,N$2),0)</f>
        <v>0</v>
      </c>
      <c r="U6" s="8">
        <f>IFERROR(COUNTIF(#REF!,Analyse!N$2),0)</f>
        <v>0</v>
      </c>
      <c r="V6" s="53">
        <f t="shared" ref="V6:V13" si="11">IFERROR(T6/U6,0)</f>
        <v>0</v>
      </c>
      <c r="W6" s="52" t="s">
        <v>21</v>
      </c>
      <c r="X6" s="8">
        <f>IFERROR(COUNTIF(#REF!,X$2),0)</f>
        <v>0</v>
      </c>
      <c r="Y6" s="8">
        <f>IFERROR(COUNTIF(#REF!,Analyse!X$2),0)</f>
        <v>0</v>
      </c>
      <c r="Z6" s="53">
        <f t="shared" si="2"/>
        <v>0</v>
      </c>
      <c r="AA6" s="54">
        <f>IFERROR(COUNTIF(#REF!,X$2),0)</f>
        <v>0</v>
      </c>
      <c r="AB6" s="8">
        <f>IFERROR(COUNTIF(#REF!,Analyse!X$2),0)</f>
        <v>0</v>
      </c>
      <c r="AC6" s="53">
        <f t="shared" ref="AC6:AC13" si="12">IFERROR(AA6/AB6,0)</f>
        <v>0</v>
      </c>
      <c r="AD6" s="54">
        <f>IFERROR(COUNTIF(#REF!,X$2),0)</f>
        <v>0</v>
      </c>
      <c r="AE6" s="8">
        <f>IFERROR(COUNTIF(#REF!,Analyse!X$2),0)</f>
        <v>0</v>
      </c>
      <c r="AF6" s="53">
        <f t="shared" ref="AF6:AF13" si="13">IFERROR(AD6/AE6,0)</f>
        <v>0</v>
      </c>
      <c r="AG6" s="52" t="s">
        <v>21</v>
      </c>
      <c r="AH6" s="8">
        <f>IFERROR(COUNTIF(#REF!,AH$2),0)</f>
        <v>0</v>
      </c>
      <c r="AI6" s="8">
        <f>IFERROR(COUNTIF(#REF!,Analyse!AH$2),0)</f>
        <v>0</v>
      </c>
      <c r="AJ6" s="53">
        <f t="shared" si="3"/>
        <v>0</v>
      </c>
      <c r="AK6" s="54">
        <f>IFERROR(COUNTIF(#REF!,AH$2),0)</f>
        <v>0</v>
      </c>
      <c r="AL6" s="8">
        <f>IFERROR(COUNTIF(#REF!,Analyse!AH$2),0)</f>
        <v>0</v>
      </c>
      <c r="AM6" s="53">
        <f t="shared" ref="AM6:AM13" si="14">IFERROR(AK6/AL6,0)</f>
        <v>0</v>
      </c>
      <c r="AN6" s="54">
        <f>IFERROR(COUNTIF(#REF!,AH$2),0)</f>
        <v>0</v>
      </c>
      <c r="AO6" s="8">
        <f>IFERROR(COUNTIF(#REF!,Analyse!AH$2),0)</f>
        <v>0</v>
      </c>
      <c r="AP6" s="53">
        <f t="shared" ref="AP6:AP13" si="15">IFERROR(AN6/AO6,0)</f>
        <v>0</v>
      </c>
      <c r="AQ6" s="52" t="s">
        <v>23</v>
      </c>
      <c r="AR6" s="8">
        <f>IFERROR(COUNTIF(#REF!,AR$2),0)</f>
        <v>0</v>
      </c>
      <c r="AS6" s="8">
        <f>IFERROR(COUNTIF(#REF!,Analyse!AR$2),0)</f>
        <v>0</v>
      </c>
      <c r="AT6" s="53">
        <f t="shared" si="4"/>
        <v>0</v>
      </c>
      <c r="AU6" s="54">
        <f>IFERROR(COUNTIF(#REF!,AR$2),0)</f>
        <v>0</v>
      </c>
      <c r="AV6" s="8">
        <f>IFERROR(COUNTIF(#REF!,Analyse!AR$2),0)</f>
        <v>0</v>
      </c>
      <c r="AW6" s="53">
        <f t="shared" ref="AW6:AW13" si="16">IFERROR(AU6/AV6,0)</f>
        <v>0</v>
      </c>
      <c r="AX6" s="54">
        <f>IFERROR(COUNTIF(#REF!,AR$2),0)</f>
        <v>0</v>
      </c>
      <c r="AY6" s="8">
        <f>IFERROR(COUNTIF(#REF!,Analyse!AR$2),0)</f>
        <v>0</v>
      </c>
      <c r="AZ6" s="53">
        <f t="shared" ref="AZ6:AZ13" si="17">IFERROR(AX6/AY6,0)</f>
        <v>0</v>
      </c>
      <c r="BA6" s="52" t="s">
        <v>23</v>
      </c>
      <c r="BB6" s="8">
        <f>IFERROR(COUNTIF(#REF!,BB$2),0)</f>
        <v>0</v>
      </c>
      <c r="BC6" s="8">
        <f>IFERROR(COUNTIF(#REF!,Analyse!BB$2),0)</f>
        <v>0</v>
      </c>
      <c r="BD6" s="53">
        <f t="shared" si="5"/>
        <v>0</v>
      </c>
      <c r="BE6" s="54">
        <f>IFERROR(COUNTIF(#REF!,BB$2),0)</f>
        <v>0</v>
      </c>
      <c r="BF6" s="8">
        <f>IFERROR(COUNTIF(#REF!,Analyse!BB$2),0)</f>
        <v>0</v>
      </c>
      <c r="BG6" s="53">
        <f t="shared" ref="BG6:BG13" si="18">IFERROR(BE6/BF6,0)</f>
        <v>0</v>
      </c>
      <c r="BH6" s="54">
        <f>IFERROR(COUNTIF(#REF!,BB$2),0)</f>
        <v>0</v>
      </c>
      <c r="BI6" s="8">
        <f>IFERROR(COUNTIF(#REF!,Analyse!BB$2),0)</f>
        <v>0</v>
      </c>
      <c r="BJ6" s="53">
        <f t="shared" ref="BJ6:BJ13" si="19">IFERROR(BH6/BI6,0)</f>
        <v>0</v>
      </c>
      <c r="BK6" s="52" t="s">
        <v>20</v>
      </c>
      <c r="BL6" s="8">
        <f>IFERROR(COUNTIF(#REF!,BL$2),0)</f>
        <v>0</v>
      </c>
      <c r="BM6" s="8">
        <f>IFERROR(COUNTIF(#REF!,Analyse!BL$2),0)</f>
        <v>0</v>
      </c>
      <c r="BN6" s="53">
        <f t="shared" si="6"/>
        <v>0</v>
      </c>
      <c r="BO6" s="54">
        <f>IFERROR(COUNTIF(#REF!,BL$2),0)</f>
        <v>0</v>
      </c>
      <c r="BP6" s="8">
        <f>IFERROR(COUNTIF(#REF!,Analyse!BL$2),0)</f>
        <v>0</v>
      </c>
      <c r="BQ6" s="53">
        <f t="shared" ref="BQ6:BQ13" si="20">IFERROR(BO6/BP6,0)</f>
        <v>0</v>
      </c>
      <c r="BR6" s="54">
        <f>IFERROR(COUNTIF(#REF!,BL$2),0)</f>
        <v>0</v>
      </c>
      <c r="BS6" s="8">
        <f>IFERROR(COUNTIF(#REF!,Analyse!BL$2),0)</f>
        <v>0</v>
      </c>
      <c r="BT6" s="53">
        <f t="shared" ref="BT6:BT13" si="21">IFERROR(BR6/BS6,0)</f>
        <v>0</v>
      </c>
      <c r="BU6" s="52" t="s">
        <v>25</v>
      </c>
      <c r="BV6" s="8">
        <f>IFERROR(COUNTIF(#REF!,BV$2),0)</f>
        <v>0</v>
      </c>
      <c r="BW6" s="8">
        <f>IFERROR(COUNTIF(#REF!,Analyse!BV$2),0)</f>
        <v>0</v>
      </c>
      <c r="BX6" s="53">
        <f t="shared" si="7"/>
        <v>0</v>
      </c>
      <c r="BY6" s="54">
        <f>IFERROR(COUNTIF(#REF!,BV$2),0)</f>
        <v>0</v>
      </c>
      <c r="BZ6" s="8">
        <f>IFERROR(COUNTIF(#REF!,Analyse!BV$2),0)</f>
        <v>0</v>
      </c>
      <c r="CA6" s="53">
        <f t="shared" ref="CA6:CA13" si="22">IFERROR(BY6/BZ6,0)</f>
        <v>0</v>
      </c>
      <c r="CB6" s="54">
        <f>IFERROR(COUNTIF(#REF!,BV$2),0)</f>
        <v>0</v>
      </c>
      <c r="CC6" s="8">
        <f>IFERROR(COUNTIF(#REF!,Analyse!BV$2),0)</f>
        <v>0</v>
      </c>
      <c r="CD6" s="53">
        <f t="shared" ref="CD6:CD13" si="23">IFERROR(CB6/CC6,0)</f>
        <v>0</v>
      </c>
    </row>
    <row r="7" spans="2:82" x14ac:dyDescent="0.2">
      <c r="C7" s="52" t="s">
        <v>21</v>
      </c>
      <c r="D7" s="8">
        <f>IFERROR(COUNTIF(#REF!,D$2),0)</f>
        <v>0</v>
      </c>
      <c r="E7" s="8">
        <f>IFERROR(COUNTIF(#REF!,Analyse!D$2),0)</f>
        <v>0</v>
      </c>
      <c r="F7" s="53">
        <f t="shared" si="0"/>
        <v>0</v>
      </c>
      <c r="G7" s="54">
        <f>IFERROR(COUNTIF(#REF!,D$2),0)</f>
        <v>0</v>
      </c>
      <c r="H7" s="8">
        <f>IFERROR(COUNTIF(#REF!,Analyse!D$2),0)</f>
        <v>0</v>
      </c>
      <c r="I7" s="53">
        <f t="shared" si="8"/>
        <v>0</v>
      </c>
      <c r="J7" s="54">
        <f>IFERROR(COUNTIF(#REF!,D$2),0)</f>
        <v>0</v>
      </c>
      <c r="K7" s="8">
        <f>IFERROR(COUNTIF(#REF!,Analyse!D$2),0)</f>
        <v>0</v>
      </c>
      <c r="L7" s="53">
        <f t="shared" si="9"/>
        <v>0</v>
      </c>
      <c r="M7" s="52" t="s">
        <v>23</v>
      </c>
      <c r="N7" s="8">
        <f>IFERROR(COUNTIF(#REF!,N$2),0)</f>
        <v>0</v>
      </c>
      <c r="O7" s="8">
        <f>IFERROR(COUNTIF(#REF!,Analyse!N$2),0)</f>
        <v>0</v>
      </c>
      <c r="P7" s="53">
        <f t="shared" si="1"/>
        <v>0</v>
      </c>
      <c r="Q7" s="54">
        <f>IFERROR(COUNTIF(#REF!,N$2),0)</f>
        <v>0</v>
      </c>
      <c r="R7" s="8">
        <f>IFERROR(COUNTIF(#REF!,Analyse!N$2),0)</f>
        <v>0</v>
      </c>
      <c r="S7" s="53">
        <f t="shared" si="10"/>
        <v>0</v>
      </c>
      <c r="T7" s="54">
        <f>IFERROR(COUNTIF(#REF!,N$2),0)</f>
        <v>0</v>
      </c>
      <c r="U7" s="8">
        <f>IFERROR(COUNTIF(#REF!,Analyse!N$2),0)</f>
        <v>0</v>
      </c>
      <c r="V7" s="53">
        <f t="shared" si="11"/>
        <v>0</v>
      </c>
      <c r="W7" s="52" t="s">
        <v>24</v>
      </c>
      <c r="X7" s="8">
        <f>IFERROR(COUNTIF(#REF!,X$2),0)</f>
        <v>0</v>
      </c>
      <c r="Y7" s="8">
        <f>IFERROR(COUNTIF(#REF!,Analyse!X$2),0)</f>
        <v>0</v>
      </c>
      <c r="Z7" s="53">
        <f t="shared" si="2"/>
        <v>0</v>
      </c>
      <c r="AA7" s="54">
        <f>IFERROR(COUNTIF(#REF!,X$2),0)</f>
        <v>0</v>
      </c>
      <c r="AB7" s="8">
        <f>IFERROR(COUNTIF(#REF!,Analyse!X$2),0)</f>
        <v>0</v>
      </c>
      <c r="AC7" s="53">
        <f t="shared" si="12"/>
        <v>0</v>
      </c>
      <c r="AD7" s="54">
        <f>IFERROR(COUNTIF(#REF!,X$2),0)</f>
        <v>0</v>
      </c>
      <c r="AE7" s="8">
        <f>IFERROR(COUNTIF(#REF!,Analyse!X$2),0)</f>
        <v>0</v>
      </c>
      <c r="AF7" s="53">
        <f t="shared" si="13"/>
        <v>0</v>
      </c>
      <c r="AG7" s="52" t="s">
        <v>26</v>
      </c>
      <c r="AH7" s="8">
        <f>IFERROR(COUNTIF(#REF!,AH$2),0)</f>
        <v>0</v>
      </c>
      <c r="AI7" s="8">
        <f>IFERROR(COUNTIF(#REF!,Analyse!AH$2),0)</f>
        <v>0</v>
      </c>
      <c r="AJ7" s="53">
        <f t="shared" si="3"/>
        <v>0</v>
      </c>
      <c r="AK7" s="54">
        <f>IFERROR(COUNTIF(#REF!,AH$2),0)</f>
        <v>0</v>
      </c>
      <c r="AL7" s="8">
        <f>IFERROR(COUNTIF(#REF!,Analyse!AH$2),0)</f>
        <v>0</v>
      </c>
      <c r="AM7" s="53">
        <f t="shared" si="14"/>
        <v>0</v>
      </c>
      <c r="AN7" s="54">
        <f>IFERROR(COUNTIF(#REF!,AH$2),0)</f>
        <v>0</v>
      </c>
      <c r="AO7" s="8">
        <f>IFERROR(COUNTIF(#REF!,Analyse!AH$2),0)</f>
        <v>0</v>
      </c>
      <c r="AP7" s="53">
        <f t="shared" si="15"/>
        <v>0</v>
      </c>
      <c r="AQ7" s="52" t="s">
        <v>27</v>
      </c>
      <c r="AR7" s="8">
        <f>IFERROR(COUNTIF(#REF!,AR$2),0)</f>
        <v>0</v>
      </c>
      <c r="AS7" s="8">
        <f>IFERROR(COUNTIF(#REF!,Analyse!AR$2),0)</f>
        <v>0</v>
      </c>
      <c r="AT7" s="53">
        <f t="shared" si="4"/>
        <v>0</v>
      </c>
      <c r="AU7" s="54">
        <f>IFERROR(COUNTIF(#REF!,AR$2),0)</f>
        <v>0</v>
      </c>
      <c r="AV7" s="8">
        <f>IFERROR(COUNTIF(#REF!,Analyse!AR$2),0)</f>
        <v>0</v>
      </c>
      <c r="AW7" s="53">
        <f t="shared" si="16"/>
        <v>0</v>
      </c>
      <c r="AX7" s="54">
        <f>IFERROR(COUNTIF(#REF!,AR$2),0)</f>
        <v>0</v>
      </c>
      <c r="AY7" s="8">
        <f>IFERROR(COUNTIF(#REF!,Analyse!AR$2),0)</f>
        <v>0</v>
      </c>
      <c r="AZ7" s="53">
        <f t="shared" si="17"/>
        <v>0</v>
      </c>
      <c r="BA7" s="52" t="s">
        <v>25</v>
      </c>
      <c r="BB7" s="8">
        <f>IFERROR(COUNTIF(#REF!,BB$2),0)</f>
        <v>0</v>
      </c>
      <c r="BC7" s="8">
        <f>IFERROR(COUNTIF(#REF!,Analyse!BB$2),0)</f>
        <v>0</v>
      </c>
      <c r="BD7" s="53">
        <f t="shared" si="5"/>
        <v>0</v>
      </c>
      <c r="BE7" s="54">
        <f>IFERROR(COUNTIF(#REF!,BB$2),0)</f>
        <v>0</v>
      </c>
      <c r="BF7" s="8">
        <f>IFERROR(COUNTIF(#REF!,Analyse!BB$2),0)</f>
        <v>0</v>
      </c>
      <c r="BG7" s="53">
        <f t="shared" si="18"/>
        <v>0</v>
      </c>
      <c r="BH7" s="54">
        <f>IFERROR(COUNTIF(#REF!,BB$2),0)</f>
        <v>0</v>
      </c>
      <c r="BI7" s="8">
        <f>IFERROR(COUNTIF(#REF!,Analyse!BB$2),0)</f>
        <v>0</v>
      </c>
      <c r="BJ7" s="53">
        <f t="shared" si="19"/>
        <v>0</v>
      </c>
      <c r="BK7" s="52" t="s">
        <v>27</v>
      </c>
      <c r="BL7" s="8">
        <f>IFERROR(COUNTIF(#REF!,BL$2),0)</f>
        <v>0</v>
      </c>
      <c r="BM7" s="8">
        <f>IFERROR(COUNTIF(#REF!,Analyse!BL$2),0)</f>
        <v>0</v>
      </c>
      <c r="BN7" s="53">
        <f t="shared" si="6"/>
        <v>0</v>
      </c>
      <c r="BO7" s="54">
        <f>IFERROR(COUNTIF(#REF!,BL$2),0)</f>
        <v>0</v>
      </c>
      <c r="BP7" s="8">
        <f>IFERROR(COUNTIF(#REF!,Analyse!BL$2),0)</f>
        <v>0</v>
      </c>
      <c r="BQ7" s="53">
        <f t="shared" si="20"/>
        <v>0</v>
      </c>
      <c r="BR7" s="54">
        <f>IFERROR(COUNTIF(#REF!,BL$2),0)</f>
        <v>0</v>
      </c>
      <c r="BS7" s="8">
        <f>IFERROR(COUNTIF(#REF!,Analyse!BL$2),0)</f>
        <v>0</v>
      </c>
      <c r="BT7" s="53">
        <f t="shared" si="21"/>
        <v>0</v>
      </c>
      <c r="BU7" s="52" t="s">
        <v>24</v>
      </c>
      <c r="BV7" s="8">
        <f>IFERROR(COUNTIF(#REF!,BV$2),0)</f>
        <v>0</v>
      </c>
      <c r="BW7" s="8">
        <f>IFERROR(COUNTIF(#REF!,Analyse!BV$2),0)</f>
        <v>0</v>
      </c>
      <c r="BX7" s="53">
        <f t="shared" si="7"/>
        <v>0</v>
      </c>
      <c r="BY7" s="54">
        <f>IFERROR(COUNTIF(#REF!,BV$2),0)</f>
        <v>0</v>
      </c>
      <c r="BZ7" s="8">
        <f>IFERROR(COUNTIF(#REF!,Analyse!BV$2),0)</f>
        <v>0</v>
      </c>
      <c r="CA7" s="53">
        <f t="shared" si="22"/>
        <v>0</v>
      </c>
      <c r="CB7" s="54">
        <f>IFERROR(COUNTIF(#REF!,BV$2),0)</f>
        <v>0</v>
      </c>
      <c r="CC7" s="8">
        <f>IFERROR(COUNTIF(#REF!,Analyse!BV$2),0)</f>
        <v>0</v>
      </c>
      <c r="CD7" s="53">
        <f t="shared" si="23"/>
        <v>0</v>
      </c>
    </row>
    <row r="8" spans="2:82" x14ac:dyDescent="0.2">
      <c r="C8" s="52" t="s">
        <v>19</v>
      </c>
      <c r="D8" s="8">
        <f>IFERROR(COUNTIF(#REF!,D$2),0)</f>
        <v>0</v>
      </c>
      <c r="E8" s="8">
        <f>IFERROR(COUNTIF(#REF!,Analyse!D$2),0)</f>
        <v>0</v>
      </c>
      <c r="F8" s="53">
        <f t="shared" si="0"/>
        <v>0</v>
      </c>
      <c r="G8" s="54">
        <f>IFERROR(COUNTIF(#REF!,D$2),0)</f>
        <v>0</v>
      </c>
      <c r="H8" s="8">
        <f>IFERROR(COUNTIF(#REF!,Analyse!D$2),0)</f>
        <v>0</v>
      </c>
      <c r="I8" s="53">
        <f t="shared" si="8"/>
        <v>0</v>
      </c>
      <c r="J8" s="54">
        <f>IFERROR(COUNTIF(#REF!,D$2),0)</f>
        <v>0</v>
      </c>
      <c r="K8" s="8">
        <f>IFERROR(COUNTIF(#REF!,Analyse!D$2),0)</f>
        <v>0</v>
      </c>
      <c r="L8" s="53">
        <f t="shared" si="9"/>
        <v>0</v>
      </c>
      <c r="M8" s="52" t="s">
        <v>19</v>
      </c>
      <c r="N8" s="8">
        <f>IFERROR(COUNTIF(#REF!,N$2),0)</f>
        <v>0</v>
      </c>
      <c r="O8" s="8">
        <f>IFERROR(COUNTIF(#REF!,Analyse!N$2),0)</f>
        <v>0</v>
      </c>
      <c r="P8" s="53">
        <f t="shared" si="1"/>
        <v>0</v>
      </c>
      <c r="Q8" s="54">
        <f>IFERROR(COUNTIF(#REF!,N$2),0)</f>
        <v>0</v>
      </c>
      <c r="R8" s="8">
        <f>IFERROR(COUNTIF(#REF!,Analyse!N$2),0)</f>
        <v>0</v>
      </c>
      <c r="S8" s="53">
        <f t="shared" si="10"/>
        <v>0</v>
      </c>
      <c r="T8" s="54">
        <f>IFERROR(COUNTIF(#REF!,N$2),0)</f>
        <v>0</v>
      </c>
      <c r="U8" s="8">
        <f>IFERROR(COUNTIF(#REF!,Analyse!N$2),0)</f>
        <v>0</v>
      </c>
      <c r="V8" s="53">
        <f t="shared" si="11"/>
        <v>0</v>
      </c>
      <c r="W8" s="52" t="s">
        <v>27</v>
      </c>
      <c r="X8" s="8">
        <f>IFERROR(COUNTIF(#REF!,X$2),0)</f>
        <v>0</v>
      </c>
      <c r="Y8" s="8">
        <f>IFERROR(COUNTIF(#REF!,Analyse!X$2),0)</f>
        <v>0</v>
      </c>
      <c r="Z8" s="53">
        <f t="shared" si="2"/>
        <v>0</v>
      </c>
      <c r="AA8" s="54">
        <f>IFERROR(COUNTIF(#REF!,X$2),0)</f>
        <v>0</v>
      </c>
      <c r="AB8" s="8">
        <f>IFERROR(COUNTIF(#REF!,Analyse!X$2),0)</f>
        <v>0</v>
      </c>
      <c r="AC8" s="53">
        <f t="shared" si="12"/>
        <v>0</v>
      </c>
      <c r="AD8" s="54">
        <f>IFERROR(COUNTIF(#REF!,X$2),0)</f>
        <v>0</v>
      </c>
      <c r="AE8" s="8">
        <f>IFERROR(COUNTIF(#REF!,Analyse!X$2),0)</f>
        <v>0</v>
      </c>
      <c r="AF8" s="53">
        <f t="shared" si="13"/>
        <v>0</v>
      </c>
      <c r="AG8" s="52" t="s">
        <v>22</v>
      </c>
      <c r="AH8" s="8">
        <f>IFERROR(COUNTIF(#REF!,AH$2),0)</f>
        <v>0</v>
      </c>
      <c r="AI8" s="8">
        <f>IFERROR(COUNTIF(#REF!,Analyse!AH$2),0)</f>
        <v>0</v>
      </c>
      <c r="AJ8" s="53">
        <f t="shared" si="3"/>
        <v>0</v>
      </c>
      <c r="AK8" s="54">
        <f>IFERROR(COUNTIF(#REF!,AH$2),0)</f>
        <v>0</v>
      </c>
      <c r="AL8" s="8">
        <f>IFERROR(COUNTIF(#REF!,Analyse!AH$2),0)</f>
        <v>0</v>
      </c>
      <c r="AM8" s="53">
        <f t="shared" si="14"/>
        <v>0</v>
      </c>
      <c r="AN8" s="54">
        <f>IFERROR(COUNTIF(#REF!,AH$2),0)</f>
        <v>0</v>
      </c>
      <c r="AO8" s="8">
        <f>IFERROR(COUNTIF(#REF!,Analyse!AH$2),0)</f>
        <v>0</v>
      </c>
      <c r="AP8" s="53">
        <f t="shared" si="15"/>
        <v>0</v>
      </c>
      <c r="AQ8" s="52" t="s">
        <v>22</v>
      </c>
      <c r="AR8" s="8">
        <f>IFERROR(COUNTIF(#REF!,AR$2),0)</f>
        <v>0</v>
      </c>
      <c r="AS8" s="8">
        <f>IFERROR(COUNTIF(#REF!,Analyse!AR$2),0)</f>
        <v>0</v>
      </c>
      <c r="AT8" s="53">
        <f t="shared" si="4"/>
        <v>0</v>
      </c>
      <c r="AU8" s="54">
        <f>IFERROR(COUNTIF(#REF!,AR$2),0)</f>
        <v>0</v>
      </c>
      <c r="AV8" s="8">
        <f>IFERROR(COUNTIF(#REF!,Analyse!AR$2),0)</f>
        <v>0</v>
      </c>
      <c r="AW8" s="53">
        <f t="shared" si="16"/>
        <v>0</v>
      </c>
      <c r="AX8" s="54">
        <f>IFERROR(COUNTIF(#REF!,AR$2),0)</f>
        <v>0</v>
      </c>
      <c r="AY8" s="8">
        <f>IFERROR(COUNTIF(#REF!,Analyse!AR$2),0)</f>
        <v>0</v>
      </c>
      <c r="AZ8" s="53">
        <f t="shared" si="17"/>
        <v>0</v>
      </c>
      <c r="BA8" s="52" t="s">
        <v>19</v>
      </c>
      <c r="BB8" s="8">
        <f>IFERROR(COUNTIF(#REF!,BB$2),0)</f>
        <v>0</v>
      </c>
      <c r="BC8" s="8">
        <f>IFERROR(COUNTIF(#REF!,Analyse!BB$2),0)</f>
        <v>0</v>
      </c>
      <c r="BD8" s="53">
        <f t="shared" si="5"/>
        <v>0</v>
      </c>
      <c r="BE8" s="54">
        <f>IFERROR(COUNTIF(#REF!,BB$2),0)</f>
        <v>0</v>
      </c>
      <c r="BF8" s="8">
        <f>IFERROR(COUNTIF(#REF!,Analyse!BB$2),0)</f>
        <v>0</v>
      </c>
      <c r="BG8" s="53">
        <f t="shared" si="18"/>
        <v>0</v>
      </c>
      <c r="BH8" s="54">
        <f>IFERROR(COUNTIF(#REF!,BB$2),0)</f>
        <v>0</v>
      </c>
      <c r="BI8" s="8">
        <f>IFERROR(COUNTIF(#REF!,Analyse!BB$2),0)</f>
        <v>0</v>
      </c>
      <c r="BJ8" s="53">
        <f t="shared" si="19"/>
        <v>0</v>
      </c>
      <c r="BK8" s="52" t="s">
        <v>26</v>
      </c>
      <c r="BL8" s="8">
        <f>IFERROR(COUNTIF(#REF!,BL$2),0)</f>
        <v>0</v>
      </c>
      <c r="BM8" s="8">
        <f>IFERROR(COUNTIF(#REF!,Analyse!BL$2),0)</f>
        <v>0</v>
      </c>
      <c r="BN8" s="53">
        <f t="shared" si="6"/>
        <v>0</v>
      </c>
      <c r="BO8" s="54">
        <f>IFERROR(COUNTIF(#REF!,BL$2),0)</f>
        <v>0</v>
      </c>
      <c r="BP8" s="8">
        <f>IFERROR(COUNTIF(#REF!,Analyse!BL$2),0)</f>
        <v>0</v>
      </c>
      <c r="BQ8" s="53">
        <f t="shared" si="20"/>
        <v>0</v>
      </c>
      <c r="BR8" s="54">
        <f>IFERROR(COUNTIF(#REF!,BL$2),0)</f>
        <v>0</v>
      </c>
      <c r="BS8" s="8">
        <f>IFERROR(COUNTIF(#REF!,Analyse!BL$2),0)</f>
        <v>0</v>
      </c>
      <c r="BT8" s="53">
        <f t="shared" si="21"/>
        <v>0</v>
      </c>
      <c r="BU8" s="52" t="s">
        <v>22</v>
      </c>
      <c r="BV8" s="8">
        <f>IFERROR(COUNTIF(#REF!,BV$2),0)</f>
        <v>0</v>
      </c>
      <c r="BW8" s="8">
        <f>IFERROR(COUNTIF(#REF!,Analyse!BV$2),0)</f>
        <v>0</v>
      </c>
      <c r="BX8" s="53">
        <f t="shared" si="7"/>
        <v>0</v>
      </c>
      <c r="BY8" s="54">
        <f>IFERROR(COUNTIF(#REF!,BV$2),0)</f>
        <v>0</v>
      </c>
      <c r="BZ8" s="8">
        <f>IFERROR(COUNTIF(#REF!,Analyse!BV$2),0)</f>
        <v>0</v>
      </c>
      <c r="CA8" s="53">
        <f t="shared" si="22"/>
        <v>0</v>
      </c>
      <c r="CB8" s="54">
        <f>IFERROR(COUNTIF(#REF!,BV$2),0)</f>
        <v>0</v>
      </c>
      <c r="CC8" s="8">
        <f>IFERROR(COUNTIF(#REF!,Analyse!BV$2),0)</f>
        <v>0</v>
      </c>
      <c r="CD8" s="53">
        <f t="shared" si="23"/>
        <v>0</v>
      </c>
    </row>
    <row r="9" spans="2:82" x14ac:dyDescent="0.2">
      <c r="C9" s="52" t="s">
        <v>26</v>
      </c>
      <c r="D9" s="8">
        <f>IFERROR(COUNTIF(#REF!,D$2),0)</f>
        <v>0</v>
      </c>
      <c r="E9" s="8">
        <f>IFERROR(COUNTIF(#REF!,Analyse!D$2),0)</f>
        <v>0</v>
      </c>
      <c r="F9" s="53">
        <f t="shared" si="0"/>
        <v>0</v>
      </c>
      <c r="G9" s="54">
        <f>IFERROR(COUNTIF(#REF!,D$2),0)</f>
        <v>0</v>
      </c>
      <c r="H9" s="8">
        <f>IFERROR(COUNTIF(#REF!,Analyse!D$2),0)</f>
        <v>0</v>
      </c>
      <c r="I9" s="53">
        <f t="shared" si="8"/>
        <v>0</v>
      </c>
      <c r="J9" s="54">
        <f>IFERROR(COUNTIF(#REF!,D$2),0)</f>
        <v>0</v>
      </c>
      <c r="K9" s="8">
        <f>IFERROR(COUNTIF(#REF!,Analyse!D$2),0)</f>
        <v>0</v>
      </c>
      <c r="L9" s="53">
        <f t="shared" si="9"/>
        <v>0</v>
      </c>
      <c r="M9" s="52" t="s">
        <v>27</v>
      </c>
      <c r="N9" s="8">
        <f>IFERROR(COUNTIF(#REF!,N$2),0)</f>
        <v>0</v>
      </c>
      <c r="O9" s="8">
        <f>IFERROR(COUNTIF(#REF!,Analyse!N$2),0)</f>
        <v>0</v>
      </c>
      <c r="P9" s="53">
        <f t="shared" si="1"/>
        <v>0</v>
      </c>
      <c r="Q9" s="54">
        <f>IFERROR(COUNTIF(#REF!,N$2),0)</f>
        <v>0</v>
      </c>
      <c r="R9" s="8">
        <f>IFERROR(COUNTIF(#REF!,Analyse!N$2),0)</f>
        <v>0</v>
      </c>
      <c r="S9" s="53">
        <f t="shared" si="10"/>
        <v>0</v>
      </c>
      <c r="T9" s="54">
        <f>IFERROR(COUNTIF(#REF!,N$2),0)</f>
        <v>0</v>
      </c>
      <c r="U9" s="8">
        <f>IFERROR(COUNTIF(#REF!,Analyse!N$2),0)</f>
        <v>0</v>
      </c>
      <c r="V9" s="53">
        <f t="shared" si="11"/>
        <v>0</v>
      </c>
      <c r="W9" s="52" t="s">
        <v>26</v>
      </c>
      <c r="X9" s="8">
        <f>IFERROR(COUNTIF(#REF!,X$2),0)</f>
        <v>0</v>
      </c>
      <c r="Y9" s="8">
        <f>IFERROR(COUNTIF(#REF!,Analyse!X$2),0)</f>
        <v>0</v>
      </c>
      <c r="Z9" s="53">
        <f t="shared" si="2"/>
        <v>0</v>
      </c>
      <c r="AA9" s="54">
        <f>IFERROR(COUNTIF(#REF!,X$2),0)</f>
        <v>0</v>
      </c>
      <c r="AB9" s="8">
        <f>IFERROR(COUNTIF(#REF!,Analyse!X$2),0)</f>
        <v>0</v>
      </c>
      <c r="AC9" s="53">
        <f t="shared" si="12"/>
        <v>0</v>
      </c>
      <c r="AD9" s="54">
        <f>IFERROR(COUNTIF(#REF!,X$2),0)</f>
        <v>0</v>
      </c>
      <c r="AE9" s="8">
        <f>IFERROR(COUNTIF(#REF!,Analyse!X$2),0)</f>
        <v>0</v>
      </c>
      <c r="AF9" s="53">
        <f t="shared" si="13"/>
        <v>0</v>
      </c>
      <c r="AG9" s="52" t="s">
        <v>27</v>
      </c>
      <c r="AH9" s="8">
        <f>IFERROR(COUNTIF(#REF!,AH$2),0)</f>
        <v>0</v>
      </c>
      <c r="AI9" s="8">
        <f>IFERROR(COUNTIF(#REF!,Analyse!AH$2),0)</f>
        <v>0</v>
      </c>
      <c r="AJ9" s="53">
        <f t="shared" si="3"/>
        <v>0</v>
      </c>
      <c r="AK9" s="54">
        <f>IFERROR(COUNTIF(#REF!,AH$2),0)</f>
        <v>0</v>
      </c>
      <c r="AL9" s="8">
        <f>IFERROR(COUNTIF(#REF!,Analyse!AH$2),0)</f>
        <v>0</v>
      </c>
      <c r="AM9" s="53">
        <f t="shared" si="14"/>
        <v>0</v>
      </c>
      <c r="AN9" s="54">
        <f>IFERROR(COUNTIF(#REF!,AH$2),0)</f>
        <v>0</v>
      </c>
      <c r="AO9" s="8">
        <f>IFERROR(COUNTIF(#REF!,Analyse!AH$2),0)</f>
        <v>0</v>
      </c>
      <c r="AP9" s="53">
        <f t="shared" si="15"/>
        <v>0</v>
      </c>
      <c r="AQ9" s="52" t="s">
        <v>19</v>
      </c>
      <c r="AR9" s="8">
        <f>IFERROR(COUNTIF(#REF!,AR$2),0)</f>
        <v>0</v>
      </c>
      <c r="AS9" s="8">
        <f>IFERROR(COUNTIF(#REF!,Analyse!AR$2),0)</f>
        <v>0</v>
      </c>
      <c r="AT9" s="53">
        <f t="shared" si="4"/>
        <v>0</v>
      </c>
      <c r="AU9" s="54">
        <f>IFERROR(COUNTIF(#REF!,AR$2),0)</f>
        <v>0</v>
      </c>
      <c r="AV9" s="8">
        <f>IFERROR(COUNTIF(#REF!,Analyse!AR$2),0)</f>
        <v>0</v>
      </c>
      <c r="AW9" s="53">
        <f t="shared" si="16"/>
        <v>0</v>
      </c>
      <c r="AX9" s="54">
        <f>IFERROR(COUNTIF(#REF!,AR$2),0)</f>
        <v>0</v>
      </c>
      <c r="AY9" s="8">
        <f>IFERROR(COUNTIF(#REF!,Analyse!AR$2),0)</f>
        <v>0</v>
      </c>
      <c r="AZ9" s="53">
        <f t="shared" si="17"/>
        <v>0</v>
      </c>
      <c r="BA9" s="52" t="s">
        <v>27</v>
      </c>
      <c r="BB9" s="8">
        <f>IFERROR(COUNTIF(#REF!,BB$2),0)</f>
        <v>0</v>
      </c>
      <c r="BC9" s="8">
        <f>IFERROR(COUNTIF(#REF!,Analyse!BB$2),0)</f>
        <v>0</v>
      </c>
      <c r="BD9" s="53">
        <f t="shared" si="5"/>
        <v>0</v>
      </c>
      <c r="BE9" s="54">
        <f>IFERROR(COUNTIF(#REF!,BB$2),0)</f>
        <v>0</v>
      </c>
      <c r="BF9" s="8">
        <f>IFERROR(COUNTIF(#REF!,Analyse!BB$2),0)</f>
        <v>0</v>
      </c>
      <c r="BG9" s="53">
        <f t="shared" si="18"/>
        <v>0</v>
      </c>
      <c r="BH9" s="54">
        <f>IFERROR(COUNTIF(#REF!,BB$2),0)</f>
        <v>0</v>
      </c>
      <c r="BI9" s="8">
        <f>IFERROR(COUNTIF(#REF!,Analyse!BB$2),0)</f>
        <v>0</v>
      </c>
      <c r="BJ9" s="53">
        <f t="shared" si="19"/>
        <v>0</v>
      </c>
      <c r="BK9" s="52" t="s">
        <v>23</v>
      </c>
      <c r="BL9" s="8">
        <f>IFERROR(COUNTIF(#REF!,BL$2),0)</f>
        <v>0</v>
      </c>
      <c r="BM9" s="8">
        <f>IFERROR(COUNTIF(#REF!,Analyse!BL$2),0)</f>
        <v>0</v>
      </c>
      <c r="BN9" s="53">
        <f t="shared" si="6"/>
        <v>0</v>
      </c>
      <c r="BO9" s="54">
        <f>IFERROR(COUNTIF(#REF!,BL$2),0)</f>
        <v>0</v>
      </c>
      <c r="BP9" s="8">
        <f>IFERROR(COUNTIF(#REF!,Analyse!BL$2),0)</f>
        <v>0</v>
      </c>
      <c r="BQ9" s="53">
        <f t="shared" si="20"/>
        <v>0</v>
      </c>
      <c r="BR9" s="54">
        <f>IFERROR(COUNTIF(#REF!,BL$2),0)</f>
        <v>0</v>
      </c>
      <c r="BS9" s="8">
        <f>IFERROR(COUNTIF(#REF!,Analyse!BL$2),0)</f>
        <v>0</v>
      </c>
      <c r="BT9" s="53">
        <f t="shared" si="21"/>
        <v>0</v>
      </c>
      <c r="BU9" s="52" t="s">
        <v>20</v>
      </c>
      <c r="BV9" s="8">
        <f>IFERROR(COUNTIF(#REF!,BV$2),0)</f>
        <v>0</v>
      </c>
      <c r="BW9" s="8">
        <f>IFERROR(COUNTIF(#REF!,Analyse!BV$2),0)</f>
        <v>0</v>
      </c>
      <c r="BX9" s="53">
        <f t="shared" si="7"/>
        <v>0</v>
      </c>
      <c r="BY9" s="54">
        <f>IFERROR(COUNTIF(#REF!,BV$2),0)</f>
        <v>0</v>
      </c>
      <c r="BZ9" s="8">
        <f>IFERROR(COUNTIF(#REF!,Analyse!BV$2),0)</f>
        <v>0</v>
      </c>
      <c r="CA9" s="53">
        <f t="shared" si="22"/>
        <v>0</v>
      </c>
      <c r="CB9" s="54">
        <f>IFERROR(COUNTIF(#REF!,BV$2),0)</f>
        <v>0</v>
      </c>
      <c r="CC9" s="8">
        <f>IFERROR(COUNTIF(#REF!,Analyse!BV$2),0)</f>
        <v>0</v>
      </c>
      <c r="CD9" s="53">
        <f t="shared" si="23"/>
        <v>0</v>
      </c>
    </row>
    <row r="10" spans="2:82" x14ac:dyDescent="0.2">
      <c r="C10" s="52" t="s">
        <v>27</v>
      </c>
      <c r="D10" s="8">
        <f>IFERROR(COUNTIF(#REF!,D$2),0)</f>
        <v>0</v>
      </c>
      <c r="E10" s="8">
        <f>IFERROR(COUNTIF(#REF!,Analyse!D$2),0)</f>
        <v>0</v>
      </c>
      <c r="F10" s="53">
        <f t="shared" si="0"/>
        <v>0</v>
      </c>
      <c r="G10" s="54">
        <f>IFERROR(COUNTIF(#REF!,D$2),0)</f>
        <v>0</v>
      </c>
      <c r="H10" s="8">
        <f>IFERROR(COUNTIF(#REF!,Analyse!D$2),0)</f>
        <v>0</v>
      </c>
      <c r="I10" s="53">
        <f t="shared" si="8"/>
        <v>0</v>
      </c>
      <c r="J10" s="54">
        <f>IFERROR(COUNTIF(#REF!,D$2),0)</f>
        <v>0</v>
      </c>
      <c r="K10" s="8">
        <f>IFERROR(COUNTIF(#REF!,Analyse!D$2),0)</f>
        <v>0</v>
      </c>
      <c r="L10" s="53">
        <f t="shared" si="9"/>
        <v>0</v>
      </c>
      <c r="M10" s="52" t="s">
        <v>26</v>
      </c>
      <c r="N10" s="8">
        <f>IFERROR(COUNTIF(#REF!,N$2),0)</f>
        <v>0</v>
      </c>
      <c r="O10" s="8">
        <f>IFERROR(COUNTIF(#REF!,Analyse!N$2),0)</f>
        <v>0</v>
      </c>
      <c r="P10" s="53">
        <f t="shared" si="1"/>
        <v>0</v>
      </c>
      <c r="Q10" s="54">
        <f>IFERROR(COUNTIF(#REF!,N$2),0)</f>
        <v>0</v>
      </c>
      <c r="R10" s="8">
        <f>IFERROR(COUNTIF(#REF!,Analyse!N$2),0)</f>
        <v>0</v>
      </c>
      <c r="S10" s="53">
        <f t="shared" si="10"/>
        <v>0</v>
      </c>
      <c r="T10" s="54">
        <f>IFERROR(COUNTIF(#REF!,N$2),0)</f>
        <v>0</v>
      </c>
      <c r="U10" s="8">
        <f>IFERROR(COUNTIF(#REF!,Analyse!N$2),0)</f>
        <v>0</v>
      </c>
      <c r="V10" s="53">
        <f t="shared" si="11"/>
        <v>0</v>
      </c>
      <c r="W10" s="52" t="s">
        <v>20</v>
      </c>
      <c r="X10" s="8">
        <f>IFERROR(COUNTIF(#REF!,X$2),0)</f>
        <v>0</v>
      </c>
      <c r="Y10" s="8">
        <f>IFERROR(COUNTIF(#REF!,Analyse!X$2),0)</f>
        <v>0</v>
      </c>
      <c r="Z10" s="53">
        <f t="shared" si="2"/>
        <v>0</v>
      </c>
      <c r="AA10" s="54">
        <f>IFERROR(COUNTIF(#REF!,X$2),0)</f>
        <v>0</v>
      </c>
      <c r="AB10" s="8">
        <f>IFERROR(COUNTIF(#REF!,Analyse!X$2),0)</f>
        <v>0</v>
      </c>
      <c r="AC10" s="53">
        <f t="shared" si="12"/>
        <v>0</v>
      </c>
      <c r="AD10" s="54">
        <f>IFERROR(COUNTIF(#REF!,X$2),0)</f>
        <v>0</v>
      </c>
      <c r="AE10" s="8">
        <f>IFERROR(COUNTIF(#REF!,Analyse!X$2),0)</f>
        <v>0</v>
      </c>
      <c r="AF10" s="53">
        <f t="shared" si="13"/>
        <v>0</v>
      </c>
      <c r="AG10" s="52" t="s">
        <v>20</v>
      </c>
      <c r="AH10" s="8">
        <f>IFERROR(COUNTIF(#REF!,AH$2),0)</f>
        <v>0</v>
      </c>
      <c r="AI10" s="8">
        <f>IFERROR(COUNTIF(#REF!,Analyse!AH$2),0)</f>
        <v>0</v>
      </c>
      <c r="AJ10" s="53">
        <f t="shared" si="3"/>
        <v>0</v>
      </c>
      <c r="AK10" s="54">
        <f>IFERROR(COUNTIF(#REF!,AH$2),0)</f>
        <v>0</v>
      </c>
      <c r="AL10" s="8">
        <f>IFERROR(COUNTIF(#REF!,Analyse!AH$2),0)</f>
        <v>0</v>
      </c>
      <c r="AM10" s="53">
        <f t="shared" si="14"/>
        <v>0</v>
      </c>
      <c r="AN10" s="54">
        <f>IFERROR(COUNTIF(#REF!,AH$2),0)</f>
        <v>0</v>
      </c>
      <c r="AO10" s="8">
        <f>IFERROR(COUNTIF(#REF!,Analyse!AH$2),0)</f>
        <v>0</v>
      </c>
      <c r="AP10" s="53">
        <f t="shared" si="15"/>
        <v>0</v>
      </c>
      <c r="AQ10" s="52" t="s">
        <v>26</v>
      </c>
      <c r="AR10" s="8">
        <f>IFERROR(COUNTIF(#REF!,AR$2),0)</f>
        <v>0</v>
      </c>
      <c r="AS10" s="8">
        <f>IFERROR(COUNTIF(#REF!,Analyse!AR$2),0)</f>
        <v>0</v>
      </c>
      <c r="AT10" s="53">
        <f t="shared" si="4"/>
        <v>0</v>
      </c>
      <c r="AU10" s="54">
        <f>IFERROR(COUNTIF(#REF!,AR$2),0)</f>
        <v>0</v>
      </c>
      <c r="AV10" s="8">
        <f>IFERROR(COUNTIF(#REF!,Analyse!AR$2),0)</f>
        <v>0</v>
      </c>
      <c r="AW10" s="53">
        <f t="shared" si="16"/>
        <v>0</v>
      </c>
      <c r="AX10" s="54">
        <f>IFERROR(COUNTIF(#REF!,AR$2),0)</f>
        <v>0</v>
      </c>
      <c r="AY10" s="8">
        <f>IFERROR(COUNTIF(#REF!,Analyse!AR$2),0)</f>
        <v>0</v>
      </c>
      <c r="AZ10" s="53">
        <f t="shared" si="17"/>
        <v>0</v>
      </c>
      <c r="BA10" s="52" t="s">
        <v>24</v>
      </c>
      <c r="BB10" s="8">
        <f>IFERROR(COUNTIF(#REF!,BB$2),0)</f>
        <v>0</v>
      </c>
      <c r="BC10" s="8">
        <f>IFERROR(COUNTIF(#REF!,Analyse!BB$2),0)</f>
        <v>0</v>
      </c>
      <c r="BD10" s="53">
        <f t="shared" si="5"/>
        <v>0</v>
      </c>
      <c r="BE10" s="54">
        <f>IFERROR(COUNTIF(#REF!,BB$2),0)</f>
        <v>0</v>
      </c>
      <c r="BF10" s="8">
        <f>IFERROR(COUNTIF(#REF!,Analyse!BB$2),0)</f>
        <v>0</v>
      </c>
      <c r="BG10" s="53">
        <f t="shared" si="18"/>
        <v>0</v>
      </c>
      <c r="BH10" s="54">
        <f>IFERROR(COUNTIF(#REF!,BB$2),0)</f>
        <v>0</v>
      </c>
      <c r="BI10" s="8">
        <f>IFERROR(COUNTIF(#REF!,Analyse!BB$2),0)</f>
        <v>0</v>
      </c>
      <c r="BJ10" s="53">
        <f t="shared" si="19"/>
        <v>0</v>
      </c>
      <c r="BK10" s="52" t="s">
        <v>24</v>
      </c>
      <c r="BL10" s="8">
        <f>IFERROR(COUNTIF(#REF!,BL$2),0)</f>
        <v>0</v>
      </c>
      <c r="BM10" s="8">
        <f>IFERROR(COUNTIF(#REF!,Analyse!BL$2),0)</f>
        <v>0</v>
      </c>
      <c r="BN10" s="53">
        <f t="shared" si="6"/>
        <v>0</v>
      </c>
      <c r="BO10" s="54">
        <f>IFERROR(COUNTIF(#REF!,BL$2),0)</f>
        <v>0</v>
      </c>
      <c r="BP10" s="8">
        <f>IFERROR(COUNTIF(#REF!,Analyse!BL$2),0)</f>
        <v>0</v>
      </c>
      <c r="BQ10" s="53">
        <f t="shared" si="20"/>
        <v>0</v>
      </c>
      <c r="BR10" s="54">
        <f>IFERROR(COUNTIF(#REF!,BL$2),0)</f>
        <v>0</v>
      </c>
      <c r="BS10" s="8">
        <f>IFERROR(COUNTIF(#REF!,Analyse!BL$2),0)</f>
        <v>0</v>
      </c>
      <c r="BT10" s="53">
        <f t="shared" si="21"/>
        <v>0</v>
      </c>
      <c r="BU10" s="52" t="s">
        <v>21</v>
      </c>
      <c r="BV10" s="8">
        <f>IFERROR(COUNTIF(#REF!,BV$2),0)</f>
        <v>0</v>
      </c>
      <c r="BW10" s="8">
        <f>IFERROR(COUNTIF(#REF!,Analyse!BV$2),0)</f>
        <v>0</v>
      </c>
      <c r="BX10" s="53">
        <f t="shared" si="7"/>
        <v>0</v>
      </c>
      <c r="BY10" s="54">
        <f>IFERROR(COUNTIF(#REF!,BV$2),0)</f>
        <v>0</v>
      </c>
      <c r="BZ10" s="8">
        <f>IFERROR(COUNTIF(#REF!,Analyse!BV$2),0)</f>
        <v>0</v>
      </c>
      <c r="CA10" s="53">
        <f t="shared" si="22"/>
        <v>0</v>
      </c>
      <c r="CB10" s="54">
        <f>IFERROR(COUNTIF(#REF!,BV$2),0)</f>
        <v>0</v>
      </c>
      <c r="CC10" s="8">
        <f>IFERROR(COUNTIF(#REF!,Analyse!BV$2),0)</f>
        <v>0</v>
      </c>
      <c r="CD10" s="53">
        <f t="shared" si="23"/>
        <v>0</v>
      </c>
    </row>
    <row r="11" spans="2:82" x14ac:dyDescent="0.2">
      <c r="C11" s="52" t="s">
        <v>23</v>
      </c>
      <c r="D11" s="8">
        <f>IFERROR(COUNTIF(#REF!,D$2),0)</f>
        <v>0</v>
      </c>
      <c r="E11" s="8">
        <f>IFERROR(COUNTIF(#REF!,Analyse!D$2),0)</f>
        <v>0</v>
      </c>
      <c r="F11" s="53">
        <f t="shared" si="0"/>
        <v>0</v>
      </c>
      <c r="G11" s="54">
        <f>IFERROR(COUNTIF(#REF!,D$2),0)</f>
        <v>0</v>
      </c>
      <c r="H11" s="8">
        <f>IFERROR(COUNTIF(#REF!,Analyse!D$2),0)</f>
        <v>0</v>
      </c>
      <c r="I11" s="53">
        <f t="shared" si="8"/>
        <v>0</v>
      </c>
      <c r="J11" s="54">
        <f>IFERROR(COUNTIF(#REF!,D$2),0)</f>
        <v>0</v>
      </c>
      <c r="K11" s="8">
        <f>IFERROR(COUNTIF(#REF!,Analyse!D$2),0)</f>
        <v>0</v>
      </c>
      <c r="L11" s="53">
        <f t="shared" si="9"/>
        <v>0</v>
      </c>
      <c r="M11" s="52" t="s">
        <v>24</v>
      </c>
      <c r="N11" s="8">
        <f>IFERROR(COUNTIF(#REF!,N$2),0)</f>
        <v>0</v>
      </c>
      <c r="O11" s="8">
        <f>IFERROR(COUNTIF(#REF!,Analyse!N$2),0)</f>
        <v>0</v>
      </c>
      <c r="P11" s="53">
        <f t="shared" si="1"/>
        <v>0</v>
      </c>
      <c r="Q11" s="54">
        <f>IFERROR(COUNTIF(#REF!,N$2),0)</f>
        <v>0</v>
      </c>
      <c r="R11" s="8">
        <f>IFERROR(COUNTIF(#REF!,Analyse!N$2),0)</f>
        <v>0</v>
      </c>
      <c r="S11" s="53">
        <f t="shared" si="10"/>
        <v>0</v>
      </c>
      <c r="T11" s="54">
        <f>IFERROR(COUNTIF(#REF!,N$2),0)</f>
        <v>0</v>
      </c>
      <c r="U11" s="8">
        <f>IFERROR(COUNTIF(#REF!,Analyse!N$2),0)</f>
        <v>0</v>
      </c>
      <c r="V11" s="53">
        <f t="shared" si="11"/>
        <v>0</v>
      </c>
      <c r="W11" s="52" t="s">
        <v>23</v>
      </c>
      <c r="X11" s="8">
        <f>IFERROR(COUNTIF(#REF!,X$2),0)</f>
        <v>0</v>
      </c>
      <c r="Y11" s="8">
        <f>IFERROR(COUNTIF(#REF!,Analyse!X$2),0)</f>
        <v>0</v>
      </c>
      <c r="Z11" s="53">
        <f t="shared" si="2"/>
        <v>0</v>
      </c>
      <c r="AA11" s="54">
        <f>IFERROR(COUNTIF(#REF!,X$2),0)</f>
        <v>0</v>
      </c>
      <c r="AB11" s="8">
        <f>IFERROR(COUNTIF(#REF!,Analyse!X$2),0)</f>
        <v>0</v>
      </c>
      <c r="AC11" s="53">
        <f t="shared" si="12"/>
        <v>0</v>
      </c>
      <c r="AD11" s="54">
        <f>IFERROR(COUNTIF(#REF!,X$2),0)</f>
        <v>0</v>
      </c>
      <c r="AE11" s="8">
        <f>IFERROR(COUNTIF(#REF!,Analyse!X$2),0)</f>
        <v>0</v>
      </c>
      <c r="AF11" s="53">
        <f t="shared" si="13"/>
        <v>0</v>
      </c>
      <c r="AG11" s="52" t="s">
        <v>19</v>
      </c>
      <c r="AH11" s="8">
        <f>IFERROR(COUNTIF(#REF!,AH$2),0)</f>
        <v>0</v>
      </c>
      <c r="AI11" s="8">
        <f>IFERROR(COUNTIF(#REF!,Analyse!AH$2),0)</f>
        <v>0</v>
      </c>
      <c r="AJ11" s="53">
        <f t="shared" si="3"/>
        <v>0</v>
      </c>
      <c r="AK11" s="54">
        <f>IFERROR(COUNTIF(#REF!,AH$2),0)</f>
        <v>0</v>
      </c>
      <c r="AL11" s="8">
        <f>IFERROR(COUNTIF(#REF!,Analyse!AH$2),0)</f>
        <v>0</v>
      </c>
      <c r="AM11" s="53">
        <f t="shared" si="14"/>
        <v>0</v>
      </c>
      <c r="AN11" s="54">
        <f>IFERROR(COUNTIF(#REF!,AH$2),0)</f>
        <v>0</v>
      </c>
      <c r="AO11" s="8">
        <f>IFERROR(COUNTIF(#REF!,Analyse!AH$2),0)</f>
        <v>0</v>
      </c>
      <c r="AP11" s="53">
        <f t="shared" si="15"/>
        <v>0</v>
      </c>
      <c r="AQ11" s="52" t="s">
        <v>20</v>
      </c>
      <c r="AR11" s="8">
        <f>IFERROR(COUNTIF(#REF!,AR$2),0)</f>
        <v>0</v>
      </c>
      <c r="AS11" s="8">
        <f>IFERROR(COUNTIF(#REF!,Analyse!AR$2),0)</f>
        <v>0</v>
      </c>
      <c r="AT11" s="53">
        <f t="shared" si="4"/>
        <v>0</v>
      </c>
      <c r="AU11" s="54">
        <f>IFERROR(COUNTIF(#REF!,AR$2),0)</f>
        <v>0</v>
      </c>
      <c r="AV11" s="8">
        <f>IFERROR(COUNTIF(#REF!,Analyse!AR$2),0)</f>
        <v>0</v>
      </c>
      <c r="AW11" s="53">
        <f t="shared" si="16"/>
        <v>0</v>
      </c>
      <c r="AX11" s="54">
        <f>IFERROR(COUNTIF(#REF!,AR$2),0)</f>
        <v>0</v>
      </c>
      <c r="AY11" s="8">
        <f>IFERROR(COUNTIF(#REF!,Analyse!AR$2),0)</f>
        <v>0</v>
      </c>
      <c r="AZ11" s="53">
        <f t="shared" si="17"/>
        <v>0</v>
      </c>
      <c r="BA11" s="52" t="s">
        <v>20</v>
      </c>
      <c r="BB11" s="8">
        <f>IFERROR(COUNTIF(#REF!,BB$2),0)</f>
        <v>0</v>
      </c>
      <c r="BC11" s="8">
        <f>IFERROR(COUNTIF(#REF!,Analyse!BB$2),0)</f>
        <v>0</v>
      </c>
      <c r="BD11" s="53">
        <f t="shared" si="5"/>
        <v>0</v>
      </c>
      <c r="BE11" s="54">
        <f>IFERROR(COUNTIF(#REF!,BB$2),0)</f>
        <v>0</v>
      </c>
      <c r="BF11" s="8">
        <f>IFERROR(COUNTIF(#REF!,Analyse!BB$2),0)</f>
        <v>0</v>
      </c>
      <c r="BG11" s="53">
        <f t="shared" si="18"/>
        <v>0</v>
      </c>
      <c r="BH11" s="54">
        <f>IFERROR(COUNTIF(#REF!,BB$2),0)</f>
        <v>0</v>
      </c>
      <c r="BI11" s="8">
        <f>IFERROR(COUNTIF(#REF!,Analyse!BB$2),0)</f>
        <v>0</v>
      </c>
      <c r="BJ11" s="53">
        <f t="shared" si="19"/>
        <v>0</v>
      </c>
      <c r="BK11" s="52" t="s">
        <v>25</v>
      </c>
      <c r="BL11" s="8">
        <f>IFERROR(COUNTIF(#REF!,BL$2),0)</f>
        <v>0</v>
      </c>
      <c r="BM11" s="8">
        <f>IFERROR(COUNTIF(#REF!,Analyse!BL$2),0)</f>
        <v>0</v>
      </c>
      <c r="BN11" s="53">
        <f t="shared" si="6"/>
        <v>0</v>
      </c>
      <c r="BO11" s="54">
        <f>IFERROR(COUNTIF(#REF!,BL$2),0)</f>
        <v>0</v>
      </c>
      <c r="BP11" s="8">
        <f>IFERROR(COUNTIF(#REF!,Analyse!BL$2),0)</f>
        <v>0</v>
      </c>
      <c r="BQ11" s="53">
        <f t="shared" si="20"/>
        <v>0</v>
      </c>
      <c r="BR11" s="54">
        <f>IFERROR(COUNTIF(#REF!,BL$2),0)</f>
        <v>0</v>
      </c>
      <c r="BS11" s="8">
        <f>IFERROR(COUNTIF(#REF!,Analyse!BL$2),0)</f>
        <v>0</v>
      </c>
      <c r="BT11" s="53">
        <f t="shared" si="21"/>
        <v>0</v>
      </c>
      <c r="BU11" s="52" t="s">
        <v>23</v>
      </c>
      <c r="BV11" s="8">
        <f>IFERROR(COUNTIF(#REF!,BV$2),0)</f>
        <v>0</v>
      </c>
      <c r="BW11" s="8">
        <f>IFERROR(COUNTIF(#REF!,Analyse!BV$2),0)</f>
        <v>0</v>
      </c>
      <c r="BX11" s="53">
        <f t="shared" si="7"/>
        <v>0</v>
      </c>
      <c r="BY11" s="54">
        <f>IFERROR(COUNTIF(#REF!,BV$2),0)</f>
        <v>0</v>
      </c>
      <c r="BZ11" s="8">
        <f>IFERROR(COUNTIF(#REF!,Analyse!BV$2),0)</f>
        <v>0</v>
      </c>
      <c r="CA11" s="53">
        <f t="shared" si="22"/>
        <v>0</v>
      </c>
      <c r="CB11" s="54">
        <f>IFERROR(COUNTIF(#REF!,BV$2),0)</f>
        <v>0</v>
      </c>
      <c r="CC11" s="8">
        <f>IFERROR(COUNTIF(#REF!,Analyse!BV$2),0)</f>
        <v>0</v>
      </c>
      <c r="CD11" s="53">
        <f t="shared" si="23"/>
        <v>0</v>
      </c>
    </row>
    <row r="12" spans="2:82" x14ac:dyDescent="0.2">
      <c r="C12" s="52" t="s">
        <v>24</v>
      </c>
      <c r="D12" s="8">
        <f>IFERROR(COUNTIF(#REF!,D$2),0)</f>
        <v>0</v>
      </c>
      <c r="E12" s="8">
        <f>IFERROR(COUNTIF(#REF!,Analyse!D$2),0)</f>
        <v>0</v>
      </c>
      <c r="F12" s="53">
        <f t="shared" si="0"/>
        <v>0</v>
      </c>
      <c r="G12" s="54">
        <f>IFERROR(COUNTIF(#REF!,D$2),0)</f>
        <v>0</v>
      </c>
      <c r="H12" s="8">
        <f>IFERROR(COUNTIF(#REF!,Analyse!D$2),0)</f>
        <v>0</v>
      </c>
      <c r="I12" s="53">
        <f t="shared" si="8"/>
        <v>0</v>
      </c>
      <c r="J12" s="54">
        <f>IFERROR(COUNTIF(#REF!,D$2),0)</f>
        <v>0</v>
      </c>
      <c r="K12" s="8">
        <f>IFERROR(COUNTIF(#REF!,Analyse!D$2),0)</f>
        <v>0</v>
      </c>
      <c r="L12" s="53">
        <f t="shared" si="9"/>
        <v>0</v>
      </c>
      <c r="M12" s="52" t="s">
        <v>25</v>
      </c>
      <c r="N12" s="8">
        <f>IFERROR(COUNTIF(#REF!,N$2),0)</f>
        <v>0</v>
      </c>
      <c r="O12" s="8">
        <f>IFERROR(COUNTIF(#REF!,Analyse!N$2),0)</f>
        <v>0</v>
      </c>
      <c r="P12" s="53">
        <f t="shared" si="1"/>
        <v>0</v>
      </c>
      <c r="Q12" s="54">
        <f>IFERROR(COUNTIF(#REF!,N$2),0)</f>
        <v>0</v>
      </c>
      <c r="R12" s="8">
        <f>IFERROR(COUNTIF(#REF!,Analyse!N$2),0)</f>
        <v>0</v>
      </c>
      <c r="S12" s="53">
        <f t="shared" si="10"/>
        <v>0</v>
      </c>
      <c r="T12" s="54">
        <f>IFERROR(COUNTIF(#REF!,N$2),0)</f>
        <v>0</v>
      </c>
      <c r="U12" s="8">
        <f>IFERROR(COUNTIF(#REF!,Analyse!N$2),0)</f>
        <v>0</v>
      </c>
      <c r="V12" s="53">
        <f t="shared" si="11"/>
        <v>0</v>
      </c>
      <c r="W12" s="52" t="s">
        <v>22</v>
      </c>
      <c r="X12" s="8">
        <f>IFERROR(COUNTIF(#REF!,X$2),0)</f>
        <v>0</v>
      </c>
      <c r="Y12" s="8">
        <f>IFERROR(COUNTIF(#REF!,Analyse!X$2),0)</f>
        <v>0</v>
      </c>
      <c r="Z12" s="53">
        <f t="shared" si="2"/>
        <v>0</v>
      </c>
      <c r="AA12" s="54">
        <f>IFERROR(COUNTIF(#REF!,X$2),0)</f>
        <v>0</v>
      </c>
      <c r="AB12" s="8">
        <f>IFERROR(COUNTIF(#REF!,Analyse!X$2),0)</f>
        <v>0</v>
      </c>
      <c r="AC12" s="53">
        <f t="shared" si="12"/>
        <v>0</v>
      </c>
      <c r="AD12" s="54">
        <f>IFERROR(COUNTIF(#REF!,X$2),0)</f>
        <v>0</v>
      </c>
      <c r="AE12" s="8">
        <f>IFERROR(COUNTIF(#REF!,Analyse!X$2),0)</f>
        <v>0</v>
      </c>
      <c r="AF12" s="53">
        <f t="shared" si="13"/>
        <v>0</v>
      </c>
      <c r="AG12" s="52" t="s">
        <v>23</v>
      </c>
      <c r="AH12" s="8">
        <f>IFERROR(COUNTIF(#REF!,AH$2),0)</f>
        <v>0</v>
      </c>
      <c r="AI12" s="8">
        <f>IFERROR(COUNTIF(#REF!,Analyse!AH$2),0)</f>
        <v>0</v>
      </c>
      <c r="AJ12" s="53">
        <f t="shared" si="3"/>
        <v>0</v>
      </c>
      <c r="AK12" s="54">
        <f>IFERROR(COUNTIF(#REF!,AH$2),0)</f>
        <v>0</v>
      </c>
      <c r="AL12" s="8">
        <f>IFERROR(COUNTIF(#REF!,Analyse!AH$2),0)</f>
        <v>0</v>
      </c>
      <c r="AM12" s="53">
        <f t="shared" si="14"/>
        <v>0</v>
      </c>
      <c r="AN12" s="54">
        <f>IFERROR(COUNTIF(#REF!,AH$2),0)</f>
        <v>0</v>
      </c>
      <c r="AO12" s="8">
        <f>IFERROR(COUNTIF(#REF!,Analyse!AH$2),0)</f>
        <v>0</v>
      </c>
      <c r="AP12" s="53">
        <f t="shared" si="15"/>
        <v>0</v>
      </c>
      <c r="AQ12" s="52" t="s">
        <v>21</v>
      </c>
      <c r="AR12" s="8">
        <f>IFERROR(COUNTIF(#REF!,AR$2),0)</f>
        <v>0</v>
      </c>
      <c r="AS12" s="8">
        <f>IFERROR(COUNTIF(#REF!,Analyse!AR$2),0)</f>
        <v>0</v>
      </c>
      <c r="AT12" s="53">
        <f t="shared" si="4"/>
        <v>0</v>
      </c>
      <c r="AU12" s="54">
        <f>IFERROR(COUNTIF(#REF!,AR$2),0)</f>
        <v>0</v>
      </c>
      <c r="AV12" s="8">
        <f>IFERROR(COUNTIF(#REF!,Analyse!AR$2),0)</f>
        <v>0</v>
      </c>
      <c r="AW12" s="53">
        <f t="shared" si="16"/>
        <v>0</v>
      </c>
      <c r="AX12" s="54">
        <f>IFERROR(COUNTIF(#REF!,AR$2),0)</f>
        <v>0</v>
      </c>
      <c r="AY12" s="8">
        <f>IFERROR(COUNTIF(#REF!,Analyse!AR$2),0)</f>
        <v>0</v>
      </c>
      <c r="AZ12" s="53">
        <f t="shared" si="17"/>
        <v>0</v>
      </c>
      <c r="BA12" s="52" t="s">
        <v>26</v>
      </c>
      <c r="BB12" s="8">
        <f>IFERROR(COUNTIF(#REF!,BB$2),0)</f>
        <v>0</v>
      </c>
      <c r="BC12" s="8">
        <f>IFERROR(COUNTIF(#REF!,Analyse!BB$2),0)</f>
        <v>0</v>
      </c>
      <c r="BD12" s="53">
        <f t="shared" si="5"/>
        <v>0</v>
      </c>
      <c r="BE12" s="54">
        <f>IFERROR(COUNTIF(#REF!,BB$2),0)</f>
        <v>0</v>
      </c>
      <c r="BF12" s="8">
        <f>IFERROR(COUNTIF(#REF!,Analyse!BB$2),0)</f>
        <v>0</v>
      </c>
      <c r="BG12" s="53">
        <f t="shared" si="18"/>
        <v>0</v>
      </c>
      <c r="BH12" s="54">
        <f>IFERROR(COUNTIF(#REF!,BB$2),0)</f>
        <v>0</v>
      </c>
      <c r="BI12" s="8">
        <f>IFERROR(COUNTIF(#REF!,Analyse!BB$2),0)</f>
        <v>0</v>
      </c>
      <c r="BJ12" s="53">
        <f t="shared" si="19"/>
        <v>0</v>
      </c>
      <c r="BK12" s="52" t="s">
        <v>21</v>
      </c>
      <c r="BL12" s="8">
        <f>IFERROR(COUNTIF(#REF!,BL$2),0)</f>
        <v>0</v>
      </c>
      <c r="BM12" s="8">
        <f>IFERROR(COUNTIF(#REF!,Analyse!BL$2),0)</f>
        <v>0</v>
      </c>
      <c r="BN12" s="53">
        <f t="shared" si="6"/>
        <v>0</v>
      </c>
      <c r="BO12" s="54">
        <f>IFERROR(COUNTIF(#REF!,BL$2),0)</f>
        <v>0</v>
      </c>
      <c r="BP12" s="8">
        <f>IFERROR(COUNTIF(#REF!,Analyse!BL$2),0)</f>
        <v>0</v>
      </c>
      <c r="BQ12" s="53">
        <f t="shared" si="20"/>
        <v>0</v>
      </c>
      <c r="BR12" s="54">
        <f>IFERROR(COUNTIF(#REF!,BL$2),0)</f>
        <v>0</v>
      </c>
      <c r="BS12" s="8">
        <f>IFERROR(COUNTIF(#REF!,Analyse!BL$2),0)</f>
        <v>0</v>
      </c>
      <c r="BT12" s="53">
        <f t="shared" si="21"/>
        <v>0</v>
      </c>
      <c r="BU12" s="52" t="s">
        <v>26</v>
      </c>
      <c r="BV12" s="8">
        <f>IFERROR(COUNTIF(#REF!,BV$2),0)</f>
        <v>0</v>
      </c>
      <c r="BW12" s="8">
        <f>IFERROR(COUNTIF(#REF!,Analyse!BV$2),0)</f>
        <v>0</v>
      </c>
      <c r="BX12" s="53">
        <f t="shared" si="7"/>
        <v>0</v>
      </c>
      <c r="BY12" s="54">
        <f>IFERROR(COUNTIF(#REF!,BV$2),0)</f>
        <v>0</v>
      </c>
      <c r="BZ12" s="8">
        <f>IFERROR(COUNTIF(#REF!,Analyse!BV$2),0)</f>
        <v>0</v>
      </c>
      <c r="CA12" s="53">
        <f t="shared" si="22"/>
        <v>0</v>
      </c>
      <c r="CB12" s="54">
        <f>IFERROR(COUNTIF(#REF!,BV$2),0)</f>
        <v>0</v>
      </c>
      <c r="CC12" s="8">
        <f>IFERROR(COUNTIF(#REF!,Analyse!BV$2),0)</f>
        <v>0</v>
      </c>
      <c r="CD12" s="53">
        <f t="shared" si="23"/>
        <v>0</v>
      </c>
    </row>
    <row r="13" spans="2:82" x14ac:dyDescent="0.2">
      <c r="C13" s="55" t="s">
        <v>22</v>
      </c>
      <c r="D13" s="56">
        <f>IFERROR(COUNTIF(#REF!,D$2),0)</f>
        <v>0</v>
      </c>
      <c r="E13" s="56">
        <f>IFERROR(COUNTIF(#REF!,Analyse!D$2),0)</f>
        <v>0</v>
      </c>
      <c r="F13" s="57">
        <f t="shared" si="0"/>
        <v>0</v>
      </c>
      <c r="G13" s="58">
        <f>IFERROR(COUNTIF(#REF!,D$2),0)</f>
        <v>0</v>
      </c>
      <c r="H13" s="56">
        <f>IFERROR(COUNTIF(#REF!,Analyse!D$2),0)</f>
        <v>0</v>
      </c>
      <c r="I13" s="57">
        <f t="shared" si="8"/>
        <v>0</v>
      </c>
      <c r="J13" s="58">
        <f>IFERROR(COUNTIF(#REF!,D$2),0)</f>
        <v>0</v>
      </c>
      <c r="K13" s="56">
        <f>IFERROR(COUNTIF(#REF!,Analyse!D$2),0)</f>
        <v>0</v>
      </c>
      <c r="L13" s="57">
        <f t="shared" si="9"/>
        <v>0</v>
      </c>
      <c r="M13" s="55" t="s">
        <v>21</v>
      </c>
      <c r="N13" s="56">
        <f>IFERROR(COUNTIF(#REF!,N$2),0)</f>
        <v>0</v>
      </c>
      <c r="O13" s="56">
        <f>IFERROR(COUNTIF(#REF!,Analyse!N$2),0)</f>
        <v>0</v>
      </c>
      <c r="P13" s="57">
        <f t="shared" si="1"/>
        <v>0</v>
      </c>
      <c r="Q13" s="58">
        <f>IFERROR(COUNTIF(#REF!,N$2),0)</f>
        <v>0</v>
      </c>
      <c r="R13" s="56">
        <f>IFERROR(COUNTIF(#REF!,Analyse!N$2),0)</f>
        <v>0</v>
      </c>
      <c r="S13" s="57">
        <f t="shared" si="10"/>
        <v>0</v>
      </c>
      <c r="T13" s="58">
        <f>IFERROR(COUNTIF(#REF!,N$2),0)</f>
        <v>0</v>
      </c>
      <c r="U13" s="56">
        <f>IFERROR(COUNTIF(#REF!,Analyse!N$2),0)</f>
        <v>0</v>
      </c>
      <c r="V13" s="57">
        <f t="shared" si="11"/>
        <v>0</v>
      </c>
      <c r="W13" s="55" t="s">
        <v>25</v>
      </c>
      <c r="X13" s="56">
        <f>IFERROR(COUNTIF(#REF!,X$2),0)</f>
        <v>0</v>
      </c>
      <c r="Y13" s="56">
        <f>IFERROR(COUNTIF(#REF!,Analyse!X$2),0)</f>
        <v>0</v>
      </c>
      <c r="Z13" s="57">
        <f t="shared" si="2"/>
        <v>0</v>
      </c>
      <c r="AA13" s="58">
        <f>IFERROR(COUNTIF(#REF!,X$2),0)</f>
        <v>0</v>
      </c>
      <c r="AB13" s="56">
        <f>IFERROR(COUNTIF(#REF!,Analyse!X$2),0)</f>
        <v>0</v>
      </c>
      <c r="AC13" s="57">
        <f t="shared" si="12"/>
        <v>0</v>
      </c>
      <c r="AD13" s="58">
        <f>IFERROR(COUNTIF(#REF!,X$2),0)</f>
        <v>0</v>
      </c>
      <c r="AE13" s="56">
        <f>IFERROR(COUNTIF(#REF!,Analyse!X$2),0)</f>
        <v>0</v>
      </c>
      <c r="AF13" s="57">
        <f t="shared" si="13"/>
        <v>0</v>
      </c>
      <c r="AG13" s="55" t="s">
        <v>25</v>
      </c>
      <c r="AH13" s="56">
        <f>IFERROR(COUNTIF(#REF!,AH$2),0)</f>
        <v>0</v>
      </c>
      <c r="AI13" s="56">
        <f>IFERROR(COUNTIF(#REF!,Analyse!AH$2),0)</f>
        <v>0</v>
      </c>
      <c r="AJ13" s="57">
        <f t="shared" si="3"/>
        <v>0</v>
      </c>
      <c r="AK13" s="58">
        <f>IFERROR(COUNTIF(#REF!,AH$2),0)</f>
        <v>0</v>
      </c>
      <c r="AL13" s="56">
        <f>IFERROR(COUNTIF(#REF!,Analyse!AH$2),0)</f>
        <v>0</v>
      </c>
      <c r="AM13" s="57">
        <f t="shared" si="14"/>
        <v>0</v>
      </c>
      <c r="AN13" s="58">
        <f>IFERROR(COUNTIF(#REF!,AH$2),0)</f>
        <v>0</v>
      </c>
      <c r="AO13" s="56">
        <f>IFERROR(COUNTIF(#REF!,Analyse!AH$2),0)</f>
        <v>0</v>
      </c>
      <c r="AP13" s="57">
        <f t="shared" si="15"/>
        <v>0</v>
      </c>
      <c r="AQ13" s="55" t="s">
        <v>24</v>
      </c>
      <c r="AR13" s="56">
        <f>IFERROR(COUNTIF(#REF!,AR$2),0)</f>
        <v>0</v>
      </c>
      <c r="AS13" s="56">
        <f>IFERROR(COUNTIF(#REF!,Analyse!AR$2),0)</f>
        <v>0</v>
      </c>
      <c r="AT13" s="57">
        <f t="shared" si="4"/>
        <v>0</v>
      </c>
      <c r="AU13" s="58">
        <f>IFERROR(COUNTIF(#REF!,AR$2),0)</f>
        <v>0</v>
      </c>
      <c r="AV13" s="56">
        <f>IFERROR(COUNTIF(#REF!,Analyse!AR$2),0)</f>
        <v>0</v>
      </c>
      <c r="AW13" s="57">
        <f t="shared" si="16"/>
        <v>0</v>
      </c>
      <c r="AX13" s="58">
        <f>IFERROR(COUNTIF(#REF!,AR$2),0)</f>
        <v>0</v>
      </c>
      <c r="AY13" s="56">
        <f>IFERROR(COUNTIF(#REF!,Analyse!AR$2),0)</f>
        <v>0</v>
      </c>
      <c r="AZ13" s="57">
        <f t="shared" si="17"/>
        <v>0</v>
      </c>
      <c r="BA13" s="55" t="s">
        <v>22</v>
      </c>
      <c r="BB13" s="56">
        <f>IFERROR(COUNTIF(#REF!,BB$2),0)</f>
        <v>0</v>
      </c>
      <c r="BC13" s="56">
        <f>IFERROR(COUNTIF(#REF!,Analyse!BB$2),0)</f>
        <v>0</v>
      </c>
      <c r="BD13" s="57">
        <f t="shared" si="5"/>
        <v>0</v>
      </c>
      <c r="BE13" s="58">
        <f>IFERROR(COUNTIF(#REF!,BB$2),0)</f>
        <v>0</v>
      </c>
      <c r="BF13" s="56">
        <f>IFERROR(COUNTIF(#REF!,Analyse!BB$2),0)</f>
        <v>0</v>
      </c>
      <c r="BG13" s="57">
        <f t="shared" si="18"/>
        <v>0</v>
      </c>
      <c r="BH13" s="58">
        <f>IFERROR(COUNTIF(#REF!,BB$2),0)</f>
        <v>0</v>
      </c>
      <c r="BI13" s="56">
        <f>IFERROR(COUNTIF(#REF!,Analyse!BB$2),0)</f>
        <v>0</v>
      </c>
      <c r="BJ13" s="57">
        <f t="shared" si="19"/>
        <v>0</v>
      </c>
      <c r="BK13" s="55" t="s">
        <v>19</v>
      </c>
      <c r="BL13" s="56">
        <f>IFERROR(COUNTIF(#REF!,BL$2),0)</f>
        <v>0</v>
      </c>
      <c r="BM13" s="56">
        <f>IFERROR(COUNTIF(#REF!,Analyse!BL$2),0)</f>
        <v>0</v>
      </c>
      <c r="BN13" s="57">
        <f t="shared" si="6"/>
        <v>0</v>
      </c>
      <c r="BO13" s="58">
        <f>IFERROR(COUNTIF(#REF!,BL$2),0)</f>
        <v>0</v>
      </c>
      <c r="BP13" s="56">
        <f>IFERROR(COUNTIF(#REF!,Analyse!BL$2),0)</f>
        <v>0</v>
      </c>
      <c r="BQ13" s="57">
        <f t="shared" si="20"/>
        <v>0</v>
      </c>
      <c r="BR13" s="58">
        <f>IFERROR(COUNTIF(#REF!,BL$2),0)</f>
        <v>0</v>
      </c>
      <c r="BS13" s="56">
        <f>IFERROR(COUNTIF(#REF!,Analyse!BL$2),0)</f>
        <v>0</v>
      </c>
      <c r="BT13" s="57">
        <f t="shared" si="21"/>
        <v>0</v>
      </c>
      <c r="BU13" s="55" t="s">
        <v>27</v>
      </c>
      <c r="BV13" s="56">
        <f>IFERROR(COUNTIF(#REF!,BV$2),0)</f>
        <v>0</v>
      </c>
      <c r="BW13" s="56">
        <f>IFERROR(COUNTIF(#REF!,Analyse!BV$2),0)</f>
        <v>0</v>
      </c>
      <c r="BX13" s="57">
        <f t="shared" si="7"/>
        <v>0</v>
      </c>
      <c r="BY13" s="58">
        <f>IFERROR(COUNTIF(#REF!,BV$2),0)</f>
        <v>0</v>
      </c>
      <c r="BZ13" s="56">
        <f>IFERROR(COUNTIF(#REF!,Analyse!BV$2),0)</f>
        <v>0</v>
      </c>
      <c r="CA13" s="57">
        <f t="shared" si="22"/>
        <v>0</v>
      </c>
      <c r="CB13" s="58">
        <f>IFERROR(COUNTIF(#REF!,BV$2),0)</f>
        <v>0</v>
      </c>
      <c r="CC13" s="56">
        <f>IFERROR(COUNTIF(#REF!,Analyse!BV$2),0)</f>
        <v>0</v>
      </c>
      <c r="CD13" s="57">
        <f t="shared" si="23"/>
        <v>0</v>
      </c>
    </row>
    <row r="15" spans="2:82" x14ac:dyDescent="0.2">
      <c r="B15" s="7" t="e">
        <f>COUNTIF(#REF!,80)</f>
        <v>#REF!</v>
      </c>
    </row>
    <row r="17" spans="3:41" x14ac:dyDescent="0.2">
      <c r="C17" s="59"/>
      <c r="D17" s="43" t="s">
        <v>39</v>
      </c>
      <c r="E17" s="41"/>
      <c r="F17" s="42"/>
      <c r="G17" s="41"/>
      <c r="H17" s="41"/>
      <c r="I17" s="43"/>
      <c r="J17" s="41"/>
      <c r="K17" s="42"/>
      <c r="L17" s="41"/>
      <c r="M17" s="41"/>
      <c r="N17" s="43"/>
      <c r="O17" s="41"/>
      <c r="P17" s="42"/>
      <c r="Q17" s="41"/>
      <c r="R17" s="41"/>
      <c r="S17" s="43"/>
      <c r="T17" s="41"/>
      <c r="U17" s="42"/>
      <c r="V17" s="41"/>
      <c r="W17" s="41"/>
      <c r="X17" s="43"/>
      <c r="Y17" s="41"/>
      <c r="Z17" s="42"/>
      <c r="AA17" s="41"/>
      <c r="AB17" s="41"/>
      <c r="AC17" s="43"/>
      <c r="AD17" s="41"/>
      <c r="AE17" s="42"/>
      <c r="AF17" s="41"/>
      <c r="AG17" s="41"/>
      <c r="AH17" s="43"/>
      <c r="AI17" s="41"/>
      <c r="AJ17" s="42"/>
      <c r="AK17" s="41"/>
      <c r="AL17" s="41"/>
      <c r="AM17" s="43"/>
      <c r="AN17" s="41"/>
      <c r="AO17" s="42"/>
    </row>
    <row r="18" spans="3:41" x14ac:dyDescent="0.2">
      <c r="C18" s="52"/>
      <c r="D18" s="47">
        <f>$D$2</f>
        <v>80</v>
      </c>
      <c r="E18" s="45"/>
      <c r="F18" s="46"/>
      <c r="G18" s="45"/>
      <c r="H18" s="45"/>
      <c r="I18" s="47">
        <f>$N$2</f>
        <v>70</v>
      </c>
      <c r="J18" s="45"/>
      <c r="K18" s="46"/>
      <c r="L18" s="45"/>
      <c r="M18" s="45"/>
      <c r="N18" s="47">
        <v>60</v>
      </c>
      <c r="O18" s="45"/>
      <c r="P18" s="46"/>
      <c r="Q18" s="45"/>
      <c r="R18" s="45"/>
      <c r="S18" s="47">
        <v>50</v>
      </c>
      <c r="T18" s="45"/>
      <c r="U18" s="46"/>
      <c r="V18" s="45"/>
      <c r="W18" s="45"/>
      <c r="X18" s="47">
        <v>40</v>
      </c>
      <c r="Y18" s="45"/>
      <c r="Z18" s="46"/>
      <c r="AA18" s="45"/>
      <c r="AB18" s="45"/>
      <c r="AC18" s="47">
        <v>30</v>
      </c>
      <c r="AD18" s="45"/>
      <c r="AE18" s="46"/>
      <c r="AF18" s="45"/>
      <c r="AG18" s="45"/>
      <c r="AH18" s="47">
        <v>20</v>
      </c>
      <c r="AI18" s="45"/>
      <c r="AJ18" s="46"/>
      <c r="AK18" s="45"/>
      <c r="AL18" s="45"/>
      <c r="AM18" s="47">
        <v>10</v>
      </c>
      <c r="AN18" s="45"/>
      <c r="AO18" s="46"/>
    </row>
    <row r="19" spans="3:41" x14ac:dyDescent="0.2">
      <c r="C19" s="55"/>
      <c r="D19" s="51" t="s">
        <v>33</v>
      </c>
      <c r="E19" s="49" t="s">
        <v>34</v>
      </c>
      <c r="F19" s="50" t="s">
        <v>35</v>
      </c>
      <c r="G19" s="49"/>
      <c r="H19" s="49"/>
      <c r="I19" s="51" t="s">
        <v>33</v>
      </c>
      <c r="J19" s="49" t="s">
        <v>34</v>
      </c>
      <c r="K19" s="50" t="s">
        <v>35</v>
      </c>
      <c r="L19" s="49"/>
      <c r="M19" s="49"/>
      <c r="N19" s="51" t="s">
        <v>33</v>
      </c>
      <c r="O19" s="49" t="s">
        <v>34</v>
      </c>
      <c r="P19" s="50" t="s">
        <v>35</v>
      </c>
      <c r="Q19" s="49"/>
      <c r="R19" s="49"/>
      <c r="S19" s="51" t="s">
        <v>33</v>
      </c>
      <c r="T19" s="49" t="s">
        <v>34</v>
      </c>
      <c r="U19" s="50" t="s">
        <v>35</v>
      </c>
      <c r="V19" s="49"/>
      <c r="W19" s="49"/>
      <c r="X19" s="51" t="s">
        <v>33</v>
      </c>
      <c r="Y19" s="49" t="s">
        <v>34</v>
      </c>
      <c r="Z19" s="50" t="s">
        <v>35</v>
      </c>
      <c r="AA19" s="49"/>
      <c r="AB19" s="49"/>
      <c r="AC19" s="51" t="s">
        <v>33</v>
      </c>
      <c r="AD19" s="49" t="s">
        <v>34</v>
      </c>
      <c r="AE19" s="50" t="s">
        <v>35</v>
      </c>
      <c r="AF19" s="49"/>
      <c r="AG19" s="49"/>
      <c r="AH19" s="51" t="s">
        <v>33</v>
      </c>
      <c r="AI19" s="49" t="s">
        <v>34</v>
      </c>
      <c r="AJ19" s="50" t="s">
        <v>35</v>
      </c>
      <c r="AK19" s="49"/>
      <c r="AL19" s="49"/>
      <c r="AM19" s="51" t="s">
        <v>33</v>
      </c>
      <c r="AN19" s="49" t="s">
        <v>34</v>
      </c>
      <c r="AO19" s="50" t="s">
        <v>35</v>
      </c>
    </row>
    <row r="20" spans="3:41" x14ac:dyDescent="0.2">
      <c r="C20" s="7" t="s">
        <v>19</v>
      </c>
      <c r="D20" s="60">
        <f t="shared" ref="D20:D28" si="24">F5</f>
        <v>0</v>
      </c>
      <c r="E20" s="61">
        <f t="shared" ref="E20:E28" si="25">I5</f>
        <v>0</v>
      </c>
      <c r="F20" s="53">
        <f t="shared" ref="F20:F28" si="26">L5</f>
        <v>0</v>
      </c>
      <c r="G20" s="61"/>
      <c r="H20" s="61" t="s">
        <v>19</v>
      </c>
      <c r="I20" s="60">
        <f t="shared" ref="I20:I28" si="27">P5</f>
        <v>0</v>
      </c>
      <c r="J20" s="61">
        <f t="shared" ref="J20:J28" si="28">S5</f>
        <v>0</v>
      </c>
      <c r="K20" s="53">
        <f t="shared" ref="K20:K28" si="29">V5</f>
        <v>0</v>
      </c>
      <c r="L20" s="61"/>
      <c r="M20" s="61" t="s">
        <v>19</v>
      </c>
      <c r="N20" s="60">
        <f t="shared" ref="N20:N28" si="30">Z5</f>
        <v>0</v>
      </c>
      <c r="O20" s="61">
        <f t="shared" ref="O20:O28" si="31">AC5</f>
        <v>0</v>
      </c>
      <c r="P20" s="53">
        <f t="shared" ref="P20:P28" si="32">AF5</f>
        <v>0</v>
      </c>
      <c r="Q20" s="61"/>
      <c r="R20" s="61" t="s">
        <v>19</v>
      </c>
      <c r="S20" s="60">
        <f t="shared" ref="S20:S28" si="33">AJ5</f>
        <v>0</v>
      </c>
      <c r="T20" s="61">
        <f t="shared" ref="T20:T28" si="34">AM5</f>
        <v>0</v>
      </c>
      <c r="U20" s="53">
        <f t="shared" ref="U20:U28" si="35">AP5</f>
        <v>0</v>
      </c>
      <c r="V20" s="61"/>
      <c r="W20" s="61" t="s">
        <v>19</v>
      </c>
      <c r="X20" s="60">
        <f t="shared" ref="X20:X28" si="36">AT5</f>
        <v>0</v>
      </c>
      <c r="Y20" s="61">
        <f t="shared" ref="Y20:Y28" si="37">AW5</f>
        <v>0</v>
      </c>
      <c r="Z20" s="53">
        <f t="shared" ref="Z20:Z28" si="38">AZ5</f>
        <v>0</v>
      </c>
      <c r="AA20" s="61"/>
      <c r="AB20" s="61" t="s">
        <v>19</v>
      </c>
      <c r="AC20" s="60">
        <f t="shared" ref="AC20:AC28" si="39">BD5</f>
        <v>0</v>
      </c>
      <c r="AD20" s="61">
        <f t="shared" ref="AD20:AD28" si="40">BG5</f>
        <v>0</v>
      </c>
      <c r="AE20" s="53">
        <f t="shared" ref="AE20:AE28" si="41">BG5</f>
        <v>0</v>
      </c>
      <c r="AF20" s="61"/>
      <c r="AG20" s="61" t="s">
        <v>19</v>
      </c>
      <c r="AH20" s="60">
        <f t="shared" ref="AH20:AH28" si="42">BN5</f>
        <v>0</v>
      </c>
      <c r="AI20" s="61">
        <f t="shared" ref="AI20:AI28" si="43">BQ5</f>
        <v>0</v>
      </c>
      <c r="AJ20" s="53">
        <f t="shared" ref="AJ20:AJ28" si="44">BT5</f>
        <v>0</v>
      </c>
      <c r="AK20" s="61"/>
      <c r="AL20" s="61" t="s">
        <v>19</v>
      </c>
      <c r="AM20" s="60">
        <f t="shared" ref="AM20:AM28" si="45">BX5</f>
        <v>0</v>
      </c>
      <c r="AN20" s="61">
        <f t="shared" ref="AN20:AN28" si="46">CA5</f>
        <v>0</v>
      </c>
      <c r="AO20" s="53">
        <f t="shared" ref="AO20:AO28" si="47">CD5</f>
        <v>0</v>
      </c>
    </row>
    <row r="21" spans="3:41" x14ac:dyDescent="0.2">
      <c r="C21" s="7" t="s">
        <v>20</v>
      </c>
      <c r="D21" s="60">
        <f t="shared" si="24"/>
        <v>0</v>
      </c>
      <c r="E21" s="61">
        <f t="shared" si="25"/>
        <v>0</v>
      </c>
      <c r="F21" s="53">
        <f t="shared" si="26"/>
        <v>0</v>
      </c>
      <c r="G21" s="61"/>
      <c r="H21" s="61" t="s">
        <v>20</v>
      </c>
      <c r="I21" s="60">
        <f t="shared" si="27"/>
        <v>0</v>
      </c>
      <c r="J21" s="61">
        <f t="shared" si="28"/>
        <v>0</v>
      </c>
      <c r="K21" s="53">
        <f t="shared" si="29"/>
        <v>0</v>
      </c>
      <c r="L21" s="61"/>
      <c r="M21" s="61" t="s">
        <v>20</v>
      </c>
      <c r="N21" s="60">
        <f t="shared" si="30"/>
        <v>0</v>
      </c>
      <c r="O21" s="61">
        <f t="shared" si="31"/>
        <v>0</v>
      </c>
      <c r="P21" s="53">
        <f t="shared" si="32"/>
        <v>0</v>
      </c>
      <c r="Q21" s="61"/>
      <c r="R21" s="61" t="s">
        <v>20</v>
      </c>
      <c r="S21" s="60">
        <f t="shared" si="33"/>
        <v>0</v>
      </c>
      <c r="T21" s="61">
        <f t="shared" si="34"/>
        <v>0</v>
      </c>
      <c r="U21" s="53">
        <f t="shared" si="35"/>
        <v>0</v>
      </c>
      <c r="V21" s="61"/>
      <c r="W21" s="61" t="s">
        <v>20</v>
      </c>
      <c r="X21" s="60">
        <f t="shared" si="36"/>
        <v>0</v>
      </c>
      <c r="Y21" s="61">
        <f t="shared" si="37"/>
        <v>0</v>
      </c>
      <c r="Z21" s="53">
        <f t="shared" si="38"/>
        <v>0</v>
      </c>
      <c r="AA21" s="61"/>
      <c r="AB21" s="61" t="s">
        <v>20</v>
      </c>
      <c r="AC21" s="60">
        <f t="shared" si="39"/>
        <v>0</v>
      </c>
      <c r="AD21" s="61">
        <f t="shared" si="40"/>
        <v>0</v>
      </c>
      <c r="AE21" s="53">
        <f t="shared" si="41"/>
        <v>0</v>
      </c>
      <c r="AF21" s="61"/>
      <c r="AG21" s="61" t="s">
        <v>20</v>
      </c>
      <c r="AH21" s="60">
        <f t="shared" si="42"/>
        <v>0</v>
      </c>
      <c r="AI21" s="61">
        <f t="shared" si="43"/>
        <v>0</v>
      </c>
      <c r="AJ21" s="53">
        <f t="shared" si="44"/>
        <v>0</v>
      </c>
      <c r="AK21" s="61"/>
      <c r="AL21" s="61" t="s">
        <v>20</v>
      </c>
      <c r="AM21" s="60">
        <f t="shared" si="45"/>
        <v>0</v>
      </c>
      <c r="AN21" s="61">
        <f t="shared" si="46"/>
        <v>0</v>
      </c>
      <c r="AO21" s="53">
        <f t="shared" si="47"/>
        <v>0</v>
      </c>
    </row>
    <row r="22" spans="3:41" x14ac:dyDescent="0.2">
      <c r="C22" s="7" t="s">
        <v>21</v>
      </c>
      <c r="D22" s="60">
        <f t="shared" si="24"/>
        <v>0</v>
      </c>
      <c r="E22" s="61">
        <f t="shared" si="25"/>
        <v>0</v>
      </c>
      <c r="F22" s="53">
        <f t="shared" si="26"/>
        <v>0</v>
      </c>
      <c r="G22" s="61"/>
      <c r="H22" s="61" t="s">
        <v>21</v>
      </c>
      <c r="I22" s="60">
        <f t="shared" si="27"/>
        <v>0</v>
      </c>
      <c r="J22" s="61">
        <f t="shared" si="28"/>
        <v>0</v>
      </c>
      <c r="K22" s="53">
        <f t="shared" si="29"/>
        <v>0</v>
      </c>
      <c r="L22" s="61"/>
      <c r="M22" s="61" t="s">
        <v>21</v>
      </c>
      <c r="N22" s="60">
        <f t="shared" si="30"/>
        <v>0</v>
      </c>
      <c r="O22" s="61">
        <f t="shared" si="31"/>
        <v>0</v>
      </c>
      <c r="P22" s="53">
        <f t="shared" si="32"/>
        <v>0</v>
      </c>
      <c r="Q22" s="61"/>
      <c r="R22" s="61" t="s">
        <v>21</v>
      </c>
      <c r="S22" s="60">
        <f t="shared" si="33"/>
        <v>0</v>
      </c>
      <c r="T22" s="61">
        <f t="shared" si="34"/>
        <v>0</v>
      </c>
      <c r="U22" s="53">
        <f t="shared" si="35"/>
        <v>0</v>
      </c>
      <c r="V22" s="61"/>
      <c r="W22" s="61" t="s">
        <v>21</v>
      </c>
      <c r="X22" s="60">
        <f t="shared" si="36"/>
        <v>0</v>
      </c>
      <c r="Y22" s="61">
        <f t="shared" si="37"/>
        <v>0</v>
      </c>
      <c r="Z22" s="53">
        <f t="shared" si="38"/>
        <v>0</v>
      </c>
      <c r="AA22" s="61"/>
      <c r="AB22" s="61" t="s">
        <v>21</v>
      </c>
      <c r="AC22" s="60">
        <f t="shared" si="39"/>
        <v>0</v>
      </c>
      <c r="AD22" s="61">
        <f t="shared" si="40"/>
        <v>0</v>
      </c>
      <c r="AE22" s="53">
        <f t="shared" si="41"/>
        <v>0</v>
      </c>
      <c r="AF22" s="61"/>
      <c r="AG22" s="61" t="s">
        <v>21</v>
      </c>
      <c r="AH22" s="60">
        <f t="shared" si="42"/>
        <v>0</v>
      </c>
      <c r="AI22" s="61">
        <f t="shared" si="43"/>
        <v>0</v>
      </c>
      <c r="AJ22" s="53">
        <f t="shared" si="44"/>
        <v>0</v>
      </c>
      <c r="AK22" s="61"/>
      <c r="AL22" s="61" t="s">
        <v>21</v>
      </c>
      <c r="AM22" s="60">
        <f t="shared" si="45"/>
        <v>0</v>
      </c>
      <c r="AN22" s="61">
        <f t="shared" si="46"/>
        <v>0</v>
      </c>
      <c r="AO22" s="53">
        <f t="shared" si="47"/>
        <v>0</v>
      </c>
    </row>
    <row r="23" spans="3:41" x14ac:dyDescent="0.2">
      <c r="C23" s="7" t="s">
        <v>22</v>
      </c>
      <c r="D23" s="60">
        <f t="shared" si="24"/>
        <v>0</v>
      </c>
      <c r="E23" s="61">
        <f t="shared" si="25"/>
        <v>0</v>
      </c>
      <c r="F23" s="53">
        <f t="shared" si="26"/>
        <v>0</v>
      </c>
      <c r="G23" s="61"/>
      <c r="H23" s="61" t="s">
        <v>22</v>
      </c>
      <c r="I23" s="60">
        <f t="shared" si="27"/>
        <v>0</v>
      </c>
      <c r="J23" s="61">
        <f t="shared" si="28"/>
        <v>0</v>
      </c>
      <c r="K23" s="53">
        <f t="shared" si="29"/>
        <v>0</v>
      </c>
      <c r="L23" s="61"/>
      <c r="M23" s="61" t="s">
        <v>22</v>
      </c>
      <c r="N23" s="60">
        <f t="shared" si="30"/>
        <v>0</v>
      </c>
      <c r="O23" s="61">
        <f t="shared" si="31"/>
        <v>0</v>
      </c>
      <c r="P23" s="53">
        <f t="shared" si="32"/>
        <v>0</v>
      </c>
      <c r="Q23" s="61"/>
      <c r="R23" s="61" t="s">
        <v>22</v>
      </c>
      <c r="S23" s="60">
        <f t="shared" si="33"/>
        <v>0</v>
      </c>
      <c r="T23" s="61">
        <f t="shared" si="34"/>
        <v>0</v>
      </c>
      <c r="U23" s="53">
        <f t="shared" si="35"/>
        <v>0</v>
      </c>
      <c r="V23" s="61"/>
      <c r="W23" s="61" t="s">
        <v>22</v>
      </c>
      <c r="X23" s="60">
        <f t="shared" si="36"/>
        <v>0</v>
      </c>
      <c r="Y23" s="61">
        <f t="shared" si="37"/>
        <v>0</v>
      </c>
      <c r="Z23" s="53">
        <f t="shared" si="38"/>
        <v>0</v>
      </c>
      <c r="AA23" s="61"/>
      <c r="AB23" s="61" t="s">
        <v>22</v>
      </c>
      <c r="AC23" s="60">
        <f t="shared" si="39"/>
        <v>0</v>
      </c>
      <c r="AD23" s="61">
        <f t="shared" si="40"/>
        <v>0</v>
      </c>
      <c r="AE23" s="53">
        <f t="shared" si="41"/>
        <v>0</v>
      </c>
      <c r="AF23" s="61"/>
      <c r="AG23" s="61" t="s">
        <v>22</v>
      </c>
      <c r="AH23" s="60">
        <f t="shared" si="42"/>
        <v>0</v>
      </c>
      <c r="AI23" s="61">
        <f t="shared" si="43"/>
        <v>0</v>
      </c>
      <c r="AJ23" s="53">
        <f t="shared" si="44"/>
        <v>0</v>
      </c>
      <c r="AK23" s="61"/>
      <c r="AL23" s="61" t="s">
        <v>22</v>
      </c>
      <c r="AM23" s="60">
        <f t="shared" si="45"/>
        <v>0</v>
      </c>
      <c r="AN23" s="61">
        <f t="shared" si="46"/>
        <v>0</v>
      </c>
      <c r="AO23" s="53">
        <f t="shared" si="47"/>
        <v>0</v>
      </c>
    </row>
    <row r="24" spans="3:41" x14ac:dyDescent="0.2">
      <c r="C24" s="7" t="s">
        <v>23</v>
      </c>
      <c r="D24" s="60">
        <f t="shared" si="24"/>
        <v>0</v>
      </c>
      <c r="E24" s="61">
        <f t="shared" si="25"/>
        <v>0</v>
      </c>
      <c r="F24" s="53">
        <f t="shared" si="26"/>
        <v>0</v>
      </c>
      <c r="G24" s="61"/>
      <c r="H24" s="61" t="s">
        <v>23</v>
      </c>
      <c r="I24" s="60">
        <f t="shared" si="27"/>
        <v>0</v>
      </c>
      <c r="J24" s="61">
        <f t="shared" si="28"/>
        <v>0</v>
      </c>
      <c r="K24" s="53">
        <f t="shared" si="29"/>
        <v>0</v>
      </c>
      <c r="L24" s="61"/>
      <c r="M24" s="61" t="s">
        <v>23</v>
      </c>
      <c r="N24" s="60">
        <f t="shared" si="30"/>
        <v>0</v>
      </c>
      <c r="O24" s="61">
        <f t="shared" si="31"/>
        <v>0</v>
      </c>
      <c r="P24" s="53">
        <f t="shared" si="32"/>
        <v>0</v>
      </c>
      <c r="Q24" s="61"/>
      <c r="R24" s="61" t="s">
        <v>23</v>
      </c>
      <c r="S24" s="60">
        <f t="shared" si="33"/>
        <v>0</v>
      </c>
      <c r="T24" s="61">
        <f t="shared" si="34"/>
        <v>0</v>
      </c>
      <c r="U24" s="53">
        <f t="shared" si="35"/>
        <v>0</v>
      </c>
      <c r="V24" s="61"/>
      <c r="W24" s="61" t="s">
        <v>23</v>
      </c>
      <c r="X24" s="60">
        <f t="shared" si="36"/>
        <v>0</v>
      </c>
      <c r="Y24" s="61">
        <f t="shared" si="37"/>
        <v>0</v>
      </c>
      <c r="Z24" s="53">
        <f t="shared" si="38"/>
        <v>0</v>
      </c>
      <c r="AA24" s="61"/>
      <c r="AB24" s="61" t="s">
        <v>23</v>
      </c>
      <c r="AC24" s="60">
        <f t="shared" si="39"/>
        <v>0</v>
      </c>
      <c r="AD24" s="61">
        <f t="shared" si="40"/>
        <v>0</v>
      </c>
      <c r="AE24" s="53">
        <f t="shared" si="41"/>
        <v>0</v>
      </c>
      <c r="AF24" s="61"/>
      <c r="AG24" s="61" t="s">
        <v>23</v>
      </c>
      <c r="AH24" s="60">
        <f t="shared" si="42"/>
        <v>0</v>
      </c>
      <c r="AI24" s="61">
        <f t="shared" si="43"/>
        <v>0</v>
      </c>
      <c r="AJ24" s="53">
        <f t="shared" si="44"/>
        <v>0</v>
      </c>
      <c r="AK24" s="61"/>
      <c r="AL24" s="61" t="s">
        <v>23</v>
      </c>
      <c r="AM24" s="60">
        <f t="shared" si="45"/>
        <v>0</v>
      </c>
      <c r="AN24" s="61">
        <f t="shared" si="46"/>
        <v>0</v>
      </c>
      <c r="AO24" s="53">
        <f t="shared" si="47"/>
        <v>0</v>
      </c>
    </row>
    <row r="25" spans="3:41" x14ac:dyDescent="0.2">
      <c r="C25" s="7" t="s">
        <v>24</v>
      </c>
      <c r="D25" s="60">
        <f t="shared" si="24"/>
        <v>0</v>
      </c>
      <c r="E25" s="61">
        <f t="shared" si="25"/>
        <v>0</v>
      </c>
      <c r="F25" s="53">
        <f t="shared" si="26"/>
        <v>0</v>
      </c>
      <c r="G25" s="61"/>
      <c r="H25" s="61" t="s">
        <v>24</v>
      </c>
      <c r="I25" s="60">
        <f t="shared" si="27"/>
        <v>0</v>
      </c>
      <c r="J25" s="61">
        <f t="shared" si="28"/>
        <v>0</v>
      </c>
      <c r="K25" s="53">
        <f t="shared" si="29"/>
        <v>0</v>
      </c>
      <c r="L25" s="61"/>
      <c r="M25" s="61" t="s">
        <v>24</v>
      </c>
      <c r="N25" s="60">
        <f t="shared" si="30"/>
        <v>0</v>
      </c>
      <c r="O25" s="61">
        <f t="shared" si="31"/>
        <v>0</v>
      </c>
      <c r="P25" s="53">
        <f t="shared" si="32"/>
        <v>0</v>
      </c>
      <c r="Q25" s="61"/>
      <c r="R25" s="61" t="s">
        <v>24</v>
      </c>
      <c r="S25" s="60">
        <f t="shared" si="33"/>
        <v>0</v>
      </c>
      <c r="T25" s="61">
        <f t="shared" si="34"/>
        <v>0</v>
      </c>
      <c r="U25" s="53">
        <f t="shared" si="35"/>
        <v>0</v>
      </c>
      <c r="V25" s="61"/>
      <c r="W25" s="61" t="s">
        <v>24</v>
      </c>
      <c r="X25" s="60">
        <f t="shared" si="36"/>
        <v>0</v>
      </c>
      <c r="Y25" s="61">
        <f t="shared" si="37"/>
        <v>0</v>
      </c>
      <c r="Z25" s="53">
        <f t="shared" si="38"/>
        <v>0</v>
      </c>
      <c r="AA25" s="61"/>
      <c r="AB25" s="61" t="s">
        <v>24</v>
      </c>
      <c r="AC25" s="60">
        <f t="shared" si="39"/>
        <v>0</v>
      </c>
      <c r="AD25" s="61">
        <f t="shared" si="40"/>
        <v>0</v>
      </c>
      <c r="AE25" s="53">
        <f t="shared" si="41"/>
        <v>0</v>
      </c>
      <c r="AF25" s="61"/>
      <c r="AG25" s="61" t="s">
        <v>24</v>
      </c>
      <c r="AH25" s="60">
        <f t="shared" si="42"/>
        <v>0</v>
      </c>
      <c r="AI25" s="61">
        <f t="shared" si="43"/>
        <v>0</v>
      </c>
      <c r="AJ25" s="53">
        <f t="shared" si="44"/>
        <v>0</v>
      </c>
      <c r="AK25" s="61"/>
      <c r="AL25" s="61" t="s">
        <v>24</v>
      </c>
      <c r="AM25" s="60">
        <f t="shared" si="45"/>
        <v>0</v>
      </c>
      <c r="AN25" s="61">
        <f t="shared" si="46"/>
        <v>0</v>
      </c>
      <c r="AO25" s="53">
        <f t="shared" si="47"/>
        <v>0</v>
      </c>
    </row>
    <row r="26" spans="3:41" x14ac:dyDescent="0.2">
      <c r="C26" s="7" t="s">
        <v>25</v>
      </c>
      <c r="D26" s="60">
        <f t="shared" si="24"/>
        <v>0</v>
      </c>
      <c r="E26" s="61">
        <f t="shared" si="25"/>
        <v>0</v>
      </c>
      <c r="F26" s="53">
        <f t="shared" si="26"/>
        <v>0</v>
      </c>
      <c r="G26" s="61"/>
      <c r="H26" s="61" t="s">
        <v>25</v>
      </c>
      <c r="I26" s="60">
        <f t="shared" si="27"/>
        <v>0</v>
      </c>
      <c r="J26" s="61">
        <f t="shared" si="28"/>
        <v>0</v>
      </c>
      <c r="K26" s="53">
        <f t="shared" si="29"/>
        <v>0</v>
      </c>
      <c r="L26" s="61"/>
      <c r="M26" s="61" t="s">
        <v>25</v>
      </c>
      <c r="N26" s="60">
        <f t="shared" si="30"/>
        <v>0</v>
      </c>
      <c r="O26" s="61">
        <f t="shared" si="31"/>
        <v>0</v>
      </c>
      <c r="P26" s="53">
        <f t="shared" si="32"/>
        <v>0</v>
      </c>
      <c r="Q26" s="61"/>
      <c r="R26" s="61" t="s">
        <v>25</v>
      </c>
      <c r="S26" s="60">
        <f t="shared" si="33"/>
        <v>0</v>
      </c>
      <c r="T26" s="61">
        <f t="shared" si="34"/>
        <v>0</v>
      </c>
      <c r="U26" s="53">
        <f t="shared" si="35"/>
        <v>0</v>
      </c>
      <c r="V26" s="61"/>
      <c r="W26" s="61" t="s">
        <v>25</v>
      </c>
      <c r="X26" s="60">
        <f t="shared" si="36"/>
        <v>0</v>
      </c>
      <c r="Y26" s="61">
        <f t="shared" si="37"/>
        <v>0</v>
      </c>
      <c r="Z26" s="53">
        <f t="shared" si="38"/>
        <v>0</v>
      </c>
      <c r="AA26" s="61"/>
      <c r="AB26" s="61" t="s">
        <v>25</v>
      </c>
      <c r="AC26" s="60">
        <f t="shared" si="39"/>
        <v>0</v>
      </c>
      <c r="AD26" s="61">
        <f t="shared" si="40"/>
        <v>0</v>
      </c>
      <c r="AE26" s="53">
        <f t="shared" si="41"/>
        <v>0</v>
      </c>
      <c r="AF26" s="61"/>
      <c r="AG26" s="61" t="s">
        <v>25</v>
      </c>
      <c r="AH26" s="60">
        <f t="shared" si="42"/>
        <v>0</v>
      </c>
      <c r="AI26" s="61">
        <f t="shared" si="43"/>
        <v>0</v>
      </c>
      <c r="AJ26" s="53">
        <f t="shared" si="44"/>
        <v>0</v>
      </c>
      <c r="AK26" s="61"/>
      <c r="AL26" s="61" t="s">
        <v>25</v>
      </c>
      <c r="AM26" s="60">
        <f t="shared" si="45"/>
        <v>0</v>
      </c>
      <c r="AN26" s="61">
        <f t="shared" si="46"/>
        <v>0</v>
      </c>
      <c r="AO26" s="53">
        <f t="shared" si="47"/>
        <v>0</v>
      </c>
    </row>
    <row r="27" spans="3:41" x14ac:dyDescent="0.2">
      <c r="C27" s="7" t="s">
        <v>26</v>
      </c>
      <c r="D27" s="60">
        <f t="shared" si="24"/>
        <v>0</v>
      </c>
      <c r="E27" s="61">
        <f t="shared" si="25"/>
        <v>0</v>
      </c>
      <c r="F27" s="53">
        <f t="shared" si="26"/>
        <v>0</v>
      </c>
      <c r="G27" s="61"/>
      <c r="H27" s="61" t="s">
        <v>26</v>
      </c>
      <c r="I27" s="60">
        <f t="shared" si="27"/>
        <v>0</v>
      </c>
      <c r="J27" s="61">
        <f t="shared" si="28"/>
        <v>0</v>
      </c>
      <c r="K27" s="53">
        <f t="shared" si="29"/>
        <v>0</v>
      </c>
      <c r="L27" s="61"/>
      <c r="M27" s="61" t="s">
        <v>26</v>
      </c>
      <c r="N27" s="60">
        <f t="shared" si="30"/>
        <v>0</v>
      </c>
      <c r="O27" s="61">
        <f t="shared" si="31"/>
        <v>0</v>
      </c>
      <c r="P27" s="53">
        <f t="shared" si="32"/>
        <v>0</v>
      </c>
      <c r="Q27" s="61"/>
      <c r="R27" s="61" t="s">
        <v>26</v>
      </c>
      <c r="S27" s="60">
        <f t="shared" si="33"/>
        <v>0</v>
      </c>
      <c r="T27" s="61">
        <f t="shared" si="34"/>
        <v>0</v>
      </c>
      <c r="U27" s="53">
        <f t="shared" si="35"/>
        <v>0</v>
      </c>
      <c r="V27" s="61"/>
      <c r="W27" s="61" t="s">
        <v>26</v>
      </c>
      <c r="X27" s="60">
        <f t="shared" si="36"/>
        <v>0</v>
      </c>
      <c r="Y27" s="61">
        <f t="shared" si="37"/>
        <v>0</v>
      </c>
      <c r="Z27" s="53">
        <f t="shared" si="38"/>
        <v>0</v>
      </c>
      <c r="AA27" s="61"/>
      <c r="AB27" s="61" t="s">
        <v>26</v>
      </c>
      <c r="AC27" s="60">
        <f t="shared" si="39"/>
        <v>0</v>
      </c>
      <c r="AD27" s="61">
        <f t="shared" si="40"/>
        <v>0</v>
      </c>
      <c r="AE27" s="53">
        <f t="shared" si="41"/>
        <v>0</v>
      </c>
      <c r="AF27" s="61"/>
      <c r="AG27" s="61" t="s">
        <v>26</v>
      </c>
      <c r="AH27" s="60">
        <f t="shared" si="42"/>
        <v>0</v>
      </c>
      <c r="AI27" s="61">
        <f t="shared" si="43"/>
        <v>0</v>
      </c>
      <c r="AJ27" s="53">
        <f t="shared" si="44"/>
        <v>0</v>
      </c>
      <c r="AK27" s="61"/>
      <c r="AL27" s="61" t="s">
        <v>26</v>
      </c>
      <c r="AM27" s="60">
        <f t="shared" si="45"/>
        <v>0</v>
      </c>
      <c r="AN27" s="61">
        <f t="shared" si="46"/>
        <v>0</v>
      </c>
      <c r="AO27" s="53">
        <f t="shared" si="47"/>
        <v>0</v>
      </c>
    </row>
    <row r="28" spans="3:41" x14ac:dyDescent="0.2">
      <c r="C28" s="7" t="s">
        <v>27</v>
      </c>
      <c r="D28" s="62">
        <f t="shared" si="24"/>
        <v>0</v>
      </c>
      <c r="E28" s="63">
        <f t="shared" si="25"/>
        <v>0</v>
      </c>
      <c r="F28" s="57">
        <f t="shared" si="26"/>
        <v>0</v>
      </c>
      <c r="G28" s="63"/>
      <c r="H28" s="63" t="s">
        <v>27</v>
      </c>
      <c r="I28" s="62">
        <f t="shared" si="27"/>
        <v>0</v>
      </c>
      <c r="J28" s="63">
        <f t="shared" si="28"/>
        <v>0</v>
      </c>
      <c r="K28" s="57">
        <f t="shared" si="29"/>
        <v>0</v>
      </c>
      <c r="L28" s="63"/>
      <c r="M28" s="63" t="s">
        <v>27</v>
      </c>
      <c r="N28" s="62">
        <f t="shared" si="30"/>
        <v>0</v>
      </c>
      <c r="O28" s="63">
        <f t="shared" si="31"/>
        <v>0</v>
      </c>
      <c r="P28" s="57">
        <f t="shared" si="32"/>
        <v>0</v>
      </c>
      <c r="Q28" s="63"/>
      <c r="R28" s="63" t="s">
        <v>27</v>
      </c>
      <c r="S28" s="62">
        <f t="shared" si="33"/>
        <v>0</v>
      </c>
      <c r="T28" s="63">
        <f t="shared" si="34"/>
        <v>0</v>
      </c>
      <c r="U28" s="57">
        <f t="shared" si="35"/>
        <v>0</v>
      </c>
      <c r="V28" s="63"/>
      <c r="W28" s="63" t="s">
        <v>27</v>
      </c>
      <c r="X28" s="62">
        <f t="shared" si="36"/>
        <v>0</v>
      </c>
      <c r="Y28" s="63">
        <f t="shared" si="37"/>
        <v>0</v>
      </c>
      <c r="Z28" s="57">
        <f t="shared" si="38"/>
        <v>0</v>
      </c>
      <c r="AA28" s="63"/>
      <c r="AB28" s="63" t="s">
        <v>27</v>
      </c>
      <c r="AC28" s="62">
        <f t="shared" si="39"/>
        <v>0</v>
      </c>
      <c r="AD28" s="63">
        <f t="shared" si="40"/>
        <v>0</v>
      </c>
      <c r="AE28" s="57">
        <f t="shared" si="41"/>
        <v>0</v>
      </c>
      <c r="AF28" s="63"/>
      <c r="AG28" s="63" t="s">
        <v>27</v>
      </c>
      <c r="AH28" s="62">
        <f t="shared" si="42"/>
        <v>0</v>
      </c>
      <c r="AI28" s="63">
        <f t="shared" si="43"/>
        <v>0</v>
      </c>
      <c r="AJ28" s="57">
        <f t="shared" si="44"/>
        <v>0</v>
      </c>
      <c r="AK28" s="63"/>
      <c r="AL28" s="63" t="s">
        <v>27</v>
      </c>
      <c r="AM28" s="62">
        <f t="shared" si="45"/>
        <v>0</v>
      </c>
      <c r="AN28" s="63">
        <f t="shared" si="46"/>
        <v>0</v>
      </c>
      <c r="AO28" s="57">
        <f t="shared" si="47"/>
        <v>0</v>
      </c>
    </row>
    <row r="31" spans="3:41" x14ac:dyDescent="0.2">
      <c r="G31" s="7">
        <v>1</v>
      </c>
      <c r="H31" s="7">
        <v>1</v>
      </c>
      <c r="I31" s="7">
        <v>1</v>
      </c>
    </row>
    <row r="32" spans="3:41" x14ac:dyDescent="0.2">
      <c r="D32" s="7" t="s">
        <v>42</v>
      </c>
      <c r="G32" s="7" t="s">
        <v>43</v>
      </c>
      <c r="N32" s="8"/>
      <c r="O32" s="8"/>
      <c r="P32" s="8"/>
    </row>
    <row r="33" spans="3:18" x14ac:dyDescent="0.2">
      <c r="D33" s="64" t="s">
        <v>33</v>
      </c>
      <c r="E33" s="65" t="s">
        <v>34</v>
      </c>
      <c r="F33" s="66" t="s">
        <v>35</v>
      </c>
      <c r="G33" s="64" t="s">
        <v>33</v>
      </c>
      <c r="H33" s="65" t="s">
        <v>34</v>
      </c>
      <c r="I33" s="66" t="s">
        <v>35</v>
      </c>
      <c r="J33" s="8" t="s">
        <v>44</v>
      </c>
      <c r="K33" s="8" t="s">
        <v>45</v>
      </c>
      <c r="N33" s="8" t="s">
        <v>33</v>
      </c>
      <c r="O33" s="8" t="s">
        <v>34</v>
      </c>
      <c r="P33" s="8" t="s">
        <v>35</v>
      </c>
      <c r="R33" s="7" t="s">
        <v>46</v>
      </c>
    </row>
    <row r="34" spans="3:18" x14ac:dyDescent="0.2">
      <c r="C34" s="39" t="s">
        <v>19</v>
      </c>
      <c r="D34" s="60">
        <f t="shared" ref="D34:D42" si="48">AVERAGE(D20,I20,N20,S20,X20,AC20,AH20,AM20)</f>
        <v>0</v>
      </c>
      <c r="E34" s="61">
        <f t="shared" ref="E34:E42" si="49">AVERAGE(E20,J20,O20,T20,Y20,AD20,AI20,AN20)</f>
        <v>0</v>
      </c>
      <c r="F34" s="53">
        <f t="shared" ref="F34:F42" si="50">AVERAGE(F20,K20,P20,U20,Z20,AE20,AJ20,AO20)</f>
        <v>0</v>
      </c>
      <c r="G34" s="60">
        <f t="shared" ref="G34:G42" si="51">SUM(D20,I20,N20,S20,X20,AC20,AH20,AM20)</f>
        <v>0</v>
      </c>
      <c r="H34" s="61">
        <f t="shared" ref="H34:H42" si="52">SUM(E20,J20,O20,T20,Y20,AD20,AI20,AN20)</f>
        <v>0</v>
      </c>
      <c r="I34" s="53">
        <f t="shared" ref="I34:I42" si="53">SUM(F20,K20,P20,U20,Z20,AE20,AJ20,AO20)</f>
        <v>0</v>
      </c>
      <c r="J34" s="67">
        <f>_xlfn.RANK.EQ(G34,$G$34:$G$42)*$G$31+_xlfn.RANK.EQ(H34,$H$34:$H$42,-1)*$H$31+_xlfn.RANK.EQ(I34,$I$34:$I$42,-1)*$I$31</f>
        <v>3</v>
      </c>
      <c r="K34" s="68">
        <f>_xlfn.RANK.EQ(J34,$J$34:$J$42)+COUNTIF($J$34:J34,J34)-1</f>
        <v>1</v>
      </c>
      <c r="L34" s="7">
        <v>1</v>
      </c>
      <c r="M34" s="7" t="str">
        <f>_xlfn.XLOOKUP(L34,$K$34:$K$42,$C$34:$C$42)</f>
        <v>AHH</v>
      </c>
      <c r="N34" s="61">
        <f>_xlfn.XLOOKUP($M34,$C$34:$C$42,G$34:G$42)</f>
        <v>0</v>
      </c>
      <c r="O34" s="61">
        <f t="shared" ref="O34:P42" si="54">_xlfn.SINGLE(_xlfn.XLOOKUP($M34,$C$34:$C$42,H$34:H$42))</f>
        <v>0</v>
      </c>
      <c r="P34" s="61">
        <f t="shared" si="54"/>
        <v>0</v>
      </c>
      <c r="R34" s="7" t="str">
        <f>_xlfn.XLOOKUP(LARGE($N$34:$N$42,1),$N$34:$N$42,$M$34:$M$42)&amp;" er vår beste tipper på hjemmekamper"</f>
        <v>AHH er vår beste tipper på hjemmekamper</v>
      </c>
    </row>
    <row r="35" spans="3:18" x14ac:dyDescent="0.2">
      <c r="C35" s="69" t="s">
        <v>20</v>
      </c>
      <c r="D35" s="60">
        <f t="shared" si="48"/>
        <v>0</v>
      </c>
      <c r="E35" s="61">
        <f t="shared" si="49"/>
        <v>0</v>
      </c>
      <c r="F35" s="53">
        <f t="shared" si="50"/>
        <v>0</v>
      </c>
      <c r="G35" s="60">
        <f t="shared" si="51"/>
        <v>0</v>
      </c>
      <c r="H35" s="61">
        <f t="shared" si="52"/>
        <v>0</v>
      </c>
      <c r="I35" s="53">
        <f t="shared" si="53"/>
        <v>0</v>
      </c>
      <c r="J35" s="67">
        <f t="shared" ref="J35:J42" si="55">_xlfn.RANK.EQ(G35,$G$34:$G$42,-1)*$G$31+_xlfn.RANK.EQ(H35,$H$34:$H$42,-1)*$H$31+_xlfn.RANK.EQ(I35,$I$34:$I$42,-1)*$I$31</f>
        <v>3</v>
      </c>
      <c r="K35" s="68">
        <f>_xlfn.RANK.EQ(J35,$J$34:$J$42)+COUNTIF($J$34:J35,J35)-1</f>
        <v>2</v>
      </c>
      <c r="L35" s="7">
        <v>2</v>
      </c>
      <c r="M35" s="7" t="str">
        <f t="shared" ref="M35:M42" si="56">_xlfn.XLOOKUP(L35,$K$34:$K$42,$C$34:$C$42)</f>
        <v>RB</v>
      </c>
      <c r="N35" s="61">
        <f t="shared" ref="N35:N42" si="57">_xlfn.SINGLE(_xlfn.XLOOKUP($M35,$C$34:$C$42,G$34:G$42))</f>
        <v>0</v>
      </c>
      <c r="O35" s="61">
        <f t="shared" si="54"/>
        <v>0</v>
      </c>
      <c r="P35" s="61">
        <f t="shared" si="54"/>
        <v>0</v>
      </c>
      <c r="R35" s="7" t="str">
        <f>_xlfn.XLOOKUP(LARGE($O$34:$O$42,1),$O$34:$O$42,$M$34:$M$42)&amp;" er vår beste tipper på uavgjorte kamper"</f>
        <v>AHH er vår beste tipper på uavgjorte kamper</v>
      </c>
    </row>
    <row r="36" spans="3:18" x14ac:dyDescent="0.2">
      <c r="C36" s="69" t="s">
        <v>21</v>
      </c>
      <c r="D36" s="60">
        <f t="shared" si="48"/>
        <v>0</v>
      </c>
      <c r="E36" s="61">
        <f t="shared" si="49"/>
        <v>0</v>
      </c>
      <c r="F36" s="53">
        <f t="shared" si="50"/>
        <v>0</v>
      </c>
      <c r="G36" s="60">
        <f t="shared" si="51"/>
        <v>0</v>
      </c>
      <c r="H36" s="61">
        <f t="shared" si="52"/>
        <v>0</v>
      </c>
      <c r="I36" s="53">
        <f t="shared" si="53"/>
        <v>0</v>
      </c>
      <c r="J36" s="67">
        <f t="shared" si="55"/>
        <v>3</v>
      </c>
      <c r="K36" s="68">
        <f>_xlfn.RANK.EQ(J36,$J$34:$J$42)+COUNTIF($J$34:J36,J36)-1</f>
        <v>3</v>
      </c>
      <c r="L36" s="7">
        <v>3</v>
      </c>
      <c r="M36" s="7" t="str">
        <f t="shared" si="56"/>
        <v>EB</v>
      </c>
      <c r="N36" s="61">
        <f t="shared" si="57"/>
        <v>0</v>
      </c>
      <c r="O36" s="61">
        <f t="shared" si="54"/>
        <v>0</v>
      </c>
      <c r="P36" s="61">
        <f t="shared" si="54"/>
        <v>0</v>
      </c>
      <c r="R36" s="7" t="str">
        <f>_xlfn.XLOOKUP(LARGE($P$34:$P$42,1),$P$34:$P$42,$M$34:$M$42)&amp;" er vår beste tipper på bortekamper"</f>
        <v>AHH er vår beste tipper på bortekamper</v>
      </c>
    </row>
    <row r="37" spans="3:18" x14ac:dyDescent="0.2">
      <c r="C37" s="69" t="s">
        <v>22</v>
      </c>
      <c r="D37" s="60">
        <f t="shared" si="48"/>
        <v>0</v>
      </c>
      <c r="E37" s="61">
        <f t="shared" si="49"/>
        <v>0</v>
      </c>
      <c r="F37" s="53">
        <f t="shared" si="50"/>
        <v>0</v>
      </c>
      <c r="G37" s="60">
        <f t="shared" si="51"/>
        <v>0</v>
      </c>
      <c r="H37" s="61">
        <f t="shared" si="52"/>
        <v>0</v>
      </c>
      <c r="I37" s="53">
        <f t="shared" si="53"/>
        <v>0</v>
      </c>
      <c r="J37" s="67">
        <f t="shared" si="55"/>
        <v>3</v>
      </c>
      <c r="K37" s="68">
        <f>_xlfn.RANK.EQ(J37,$J$34:$J$42)+COUNTIF($J$34:J37,J37)-1</f>
        <v>4</v>
      </c>
      <c r="L37" s="7">
        <v>4</v>
      </c>
      <c r="M37" s="7" t="str">
        <f t="shared" si="56"/>
        <v>KAF</v>
      </c>
      <c r="N37" s="61">
        <f t="shared" si="57"/>
        <v>0</v>
      </c>
      <c r="O37" s="61">
        <f t="shared" si="54"/>
        <v>0</v>
      </c>
      <c r="P37" s="61">
        <f t="shared" si="54"/>
        <v>0</v>
      </c>
    </row>
    <row r="38" spans="3:18" x14ac:dyDescent="0.2">
      <c r="C38" s="69" t="s">
        <v>23</v>
      </c>
      <c r="D38" s="60">
        <f t="shared" si="48"/>
        <v>0</v>
      </c>
      <c r="E38" s="61">
        <f t="shared" si="49"/>
        <v>0</v>
      </c>
      <c r="F38" s="53">
        <f t="shared" si="50"/>
        <v>0</v>
      </c>
      <c r="G38" s="60">
        <f t="shared" si="51"/>
        <v>0</v>
      </c>
      <c r="H38" s="61">
        <f t="shared" si="52"/>
        <v>0</v>
      </c>
      <c r="I38" s="53">
        <f t="shared" si="53"/>
        <v>0</v>
      </c>
      <c r="J38" s="67">
        <f t="shared" si="55"/>
        <v>3</v>
      </c>
      <c r="K38" s="68">
        <f>_xlfn.RANK.EQ(J38,$J$34:$J$42)+COUNTIF($J$34:J38,J38)-1</f>
        <v>5</v>
      </c>
      <c r="L38" s="7">
        <v>5</v>
      </c>
      <c r="M38" s="7" t="str">
        <f t="shared" si="56"/>
        <v>ØG</v>
      </c>
      <c r="N38" s="61">
        <f t="shared" si="57"/>
        <v>0</v>
      </c>
      <c r="O38" s="61">
        <f t="shared" si="54"/>
        <v>0</v>
      </c>
      <c r="P38" s="61">
        <f t="shared" si="54"/>
        <v>0</v>
      </c>
      <c r="R38" s="7" t="str">
        <f>C5&amp;" er tippelagets beste på 80-tips. Han har truffet på "&amp;D5&amp;" av "&amp;E5&amp;" hjemmetips"</f>
        <v>RB er tippelagets beste på 80-tips. Han har truffet på 0 av 0 hjemmetips</v>
      </c>
    </row>
    <row r="39" spans="3:18" x14ac:dyDescent="0.2">
      <c r="C39" s="69" t="s">
        <v>24</v>
      </c>
      <c r="D39" s="60">
        <f t="shared" si="48"/>
        <v>0</v>
      </c>
      <c r="E39" s="61">
        <f t="shared" si="49"/>
        <v>0</v>
      </c>
      <c r="F39" s="53">
        <f t="shared" si="50"/>
        <v>0</v>
      </c>
      <c r="G39" s="60">
        <f t="shared" si="51"/>
        <v>0</v>
      </c>
      <c r="H39" s="61">
        <f t="shared" si="52"/>
        <v>0</v>
      </c>
      <c r="I39" s="53">
        <f t="shared" si="53"/>
        <v>0</v>
      </c>
      <c r="J39" s="67">
        <f t="shared" si="55"/>
        <v>3</v>
      </c>
      <c r="K39" s="68">
        <f>_xlfn.RANK.EQ(J39,$J$34:$J$42)+COUNTIF($J$34:J39,J39)-1</f>
        <v>6</v>
      </c>
      <c r="L39" s="7">
        <v>6</v>
      </c>
      <c r="M39" s="7" t="str">
        <f t="shared" si="56"/>
        <v>JH</v>
      </c>
      <c r="N39" s="61">
        <f t="shared" si="57"/>
        <v>0</v>
      </c>
      <c r="O39" s="61">
        <f t="shared" si="54"/>
        <v>0</v>
      </c>
      <c r="P39" s="61">
        <f t="shared" si="54"/>
        <v>0</v>
      </c>
    </row>
    <row r="40" spans="3:18" x14ac:dyDescent="0.2">
      <c r="C40" s="69" t="s">
        <v>25</v>
      </c>
      <c r="D40" s="60">
        <f t="shared" si="48"/>
        <v>0</v>
      </c>
      <c r="E40" s="61">
        <f t="shared" si="49"/>
        <v>0</v>
      </c>
      <c r="F40" s="53">
        <f t="shared" si="50"/>
        <v>0</v>
      </c>
      <c r="G40" s="60">
        <f t="shared" si="51"/>
        <v>0</v>
      </c>
      <c r="H40" s="61">
        <f t="shared" si="52"/>
        <v>0</v>
      </c>
      <c r="I40" s="53">
        <f t="shared" si="53"/>
        <v>0</v>
      </c>
      <c r="J40" s="67">
        <f t="shared" si="55"/>
        <v>3</v>
      </c>
      <c r="K40" s="68">
        <f>_xlfn.RANK.EQ(J40,$J$34:$J$42)+COUNTIF($J$34:J40,J40)-1</f>
        <v>7</v>
      </c>
      <c r="L40" s="7">
        <v>7</v>
      </c>
      <c r="M40" s="7" t="str">
        <f t="shared" si="56"/>
        <v>TOH</v>
      </c>
      <c r="N40" s="61">
        <f t="shared" si="57"/>
        <v>0</v>
      </c>
      <c r="O40" s="61">
        <f t="shared" si="54"/>
        <v>0</v>
      </c>
      <c r="P40" s="61">
        <f t="shared" si="54"/>
        <v>0</v>
      </c>
    </row>
    <row r="41" spans="3:18" x14ac:dyDescent="0.2">
      <c r="C41" s="69" t="s">
        <v>26</v>
      </c>
      <c r="D41" s="60">
        <f t="shared" si="48"/>
        <v>0</v>
      </c>
      <c r="E41" s="61">
        <f t="shared" si="49"/>
        <v>0</v>
      </c>
      <c r="F41" s="53">
        <f t="shared" si="50"/>
        <v>0</v>
      </c>
      <c r="G41" s="60">
        <f t="shared" si="51"/>
        <v>0</v>
      </c>
      <c r="H41" s="61">
        <f t="shared" si="52"/>
        <v>0</v>
      </c>
      <c r="I41" s="53">
        <f t="shared" si="53"/>
        <v>0</v>
      </c>
      <c r="J41" s="67">
        <f t="shared" si="55"/>
        <v>3</v>
      </c>
      <c r="K41" s="68">
        <f>_xlfn.RANK.EQ(J41,$J$34:$J$42)+COUNTIF($J$34:J41,J41)-1</f>
        <v>8</v>
      </c>
      <c r="L41" s="7">
        <v>8</v>
      </c>
      <c r="M41" s="7" t="str">
        <f t="shared" si="56"/>
        <v>UTG</v>
      </c>
      <c r="N41" s="61">
        <f t="shared" si="57"/>
        <v>0</v>
      </c>
      <c r="O41" s="61">
        <f t="shared" si="54"/>
        <v>0</v>
      </c>
      <c r="P41" s="61">
        <f t="shared" si="54"/>
        <v>0</v>
      </c>
    </row>
    <row r="42" spans="3:18" x14ac:dyDescent="0.2">
      <c r="C42" s="70" t="s">
        <v>27</v>
      </c>
      <c r="D42" s="62">
        <f t="shared" si="48"/>
        <v>0</v>
      </c>
      <c r="E42" s="63">
        <f t="shared" si="49"/>
        <v>0</v>
      </c>
      <c r="F42" s="57">
        <f t="shared" si="50"/>
        <v>0</v>
      </c>
      <c r="G42" s="62">
        <f t="shared" si="51"/>
        <v>0</v>
      </c>
      <c r="H42" s="63">
        <f t="shared" si="52"/>
        <v>0</v>
      </c>
      <c r="I42" s="57">
        <f t="shared" si="53"/>
        <v>0</v>
      </c>
      <c r="J42" s="67">
        <f t="shared" si="55"/>
        <v>3</v>
      </c>
      <c r="K42" s="68">
        <f>_xlfn.RANK.EQ(J42,$J$34:$J$42)+COUNTIF($J$34:J42,J42)-1</f>
        <v>9</v>
      </c>
      <c r="L42" s="7">
        <v>9</v>
      </c>
      <c r="M42" s="7" t="str">
        <f t="shared" si="56"/>
        <v>LEV</v>
      </c>
      <c r="N42" s="61">
        <f t="shared" si="57"/>
        <v>0</v>
      </c>
      <c r="O42" s="61">
        <f t="shared" si="54"/>
        <v>0</v>
      </c>
      <c r="P42" s="61">
        <f t="shared" si="54"/>
        <v>0</v>
      </c>
    </row>
    <row r="47" spans="3:18" x14ac:dyDescent="0.2">
      <c r="D47" s="9" t="s">
        <v>41</v>
      </c>
      <c r="E47" s="9"/>
      <c r="F47" s="9"/>
      <c r="G47" s="9" t="s">
        <v>38</v>
      </c>
      <c r="H47" s="9"/>
      <c r="I47" s="9"/>
    </row>
    <row r="48" spans="3:18" x14ac:dyDescent="0.2">
      <c r="D48" s="71" t="s">
        <v>33</v>
      </c>
      <c r="E48" s="72" t="s">
        <v>34</v>
      </c>
      <c r="F48" s="73" t="s">
        <v>35</v>
      </c>
      <c r="G48" s="71" t="s">
        <v>33</v>
      </c>
      <c r="H48" s="72" t="s">
        <v>34</v>
      </c>
      <c r="I48" s="73" t="s">
        <v>35</v>
      </c>
    </row>
    <row r="49" spans="3:20" x14ac:dyDescent="0.2">
      <c r="C49" s="39" t="s">
        <v>19</v>
      </c>
      <c r="D49" s="8">
        <f t="shared" ref="D49:D57" si="58">SUM(E5+O5+Y5+AI5+AS5+BC5+BM5+BW5)</f>
        <v>0</v>
      </c>
      <c r="E49" s="8">
        <f t="shared" ref="E49:E57" si="59">SUM(H5+R5+AB5+AL5+AV5+BF5+BP5+BZ5)</f>
        <v>0</v>
      </c>
      <c r="F49" s="8">
        <f t="shared" ref="F49:F57" si="60">SUM(K5+U5+AE5+AO5+AY5+BI5+BS5+CC5)</f>
        <v>0</v>
      </c>
      <c r="G49" s="8">
        <f t="shared" ref="G49:G57" si="61">SUM(D5+N5+X5+AH5+AR5+BB5+BL5+BV5)</f>
        <v>0</v>
      </c>
      <c r="H49" s="8">
        <f t="shared" ref="H49:H57" si="62">SUM(G5+Q5+AA5+AK5+AU5+BE5+BO5+BY5)</f>
        <v>0</v>
      </c>
      <c r="I49" s="8">
        <f t="shared" ref="I49:I57" si="63">SUM(J5+T5+AD5+AN5+AX5+BH5+BR5+CB5)</f>
        <v>0</v>
      </c>
    </row>
    <row r="50" spans="3:20" x14ac:dyDescent="0.2">
      <c r="C50" s="69" t="s">
        <v>20</v>
      </c>
      <c r="D50" s="8">
        <f t="shared" si="58"/>
        <v>0</v>
      </c>
      <c r="E50" s="8">
        <f t="shared" si="59"/>
        <v>0</v>
      </c>
      <c r="F50" s="8">
        <f t="shared" si="60"/>
        <v>0</v>
      </c>
      <c r="G50" s="8">
        <f t="shared" si="61"/>
        <v>0</v>
      </c>
      <c r="H50" s="8">
        <f t="shared" si="62"/>
        <v>0</v>
      </c>
      <c r="I50" s="8">
        <f t="shared" si="63"/>
        <v>0</v>
      </c>
    </row>
    <row r="51" spans="3:20" x14ac:dyDescent="0.2">
      <c r="C51" s="69" t="s">
        <v>21</v>
      </c>
      <c r="D51" s="8">
        <f t="shared" si="58"/>
        <v>0</v>
      </c>
      <c r="E51" s="8">
        <f t="shared" si="59"/>
        <v>0</v>
      </c>
      <c r="F51" s="8">
        <f t="shared" si="60"/>
        <v>0</v>
      </c>
      <c r="G51" s="8">
        <f t="shared" si="61"/>
        <v>0</v>
      </c>
      <c r="H51" s="8">
        <f t="shared" si="62"/>
        <v>0</v>
      </c>
      <c r="I51" s="8">
        <f t="shared" si="63"/>
        <v>0</v>
      </c>
    </row>
    <row r="52" spans="3:20" x14ac:dyDescent="0.2">
      <c r="C52" s="69" t="s">
        <v>22</v>
      </c>
      <c r="D52" s="8">
        <f t="shared" si="58"/>
        <v>0</v>
      </c>
      <c r="E52" s="8">
        <f t="shared" si="59"/>
        <v>0</v>
      </c>
      <c r="F52" s="8">
        <f t="shared" si="60"/>
        <v>0</v>
      </c>
      <c r="G52" s="8">
        <f t="shared" si="61"/>
        <v>0</v>
      </c>
      <c r="H52" s="8">
        <f t="shared" si="62"/>
        <v>0</v>
      </c>
      <c r="I52" s="8">
        <f t="shared" si="63"/>
        <v>0</v>
      </c>
    </row>
    <row r="53" spans="3:20" x14ac:dyDescent="0.2">
      <c r="C53" s="69" t="s">
        <v>23</v>
      </c>
      <c r="D53" s="8">
        <f t="shared" si="58"/>
        <v>0</v>
      </c>
      <c r="E53" s="8">
        <f t="shared" si="59"/>
        <v>0</v>
      </c>
      <c r="F53" s="8">
        <f t="shared" si="60"/>
        <v>0</v>
      </c>
      <c r="G53" s="8">
        <f t="shared" si="61"/>
        <v>0</v>
      </c>
      <c r="H53" s="8">
        <f t="shared" si="62"/>
        <v>0</v>
      </c>
      <c r="I53" s="8">
        <f t="shared" si="63"/>
        <v>0</v>
      </c>
    </row>
    <row r="54" spans="3:20" x14ac:dyDescent="0.2">
      <c r="C54" s="69" t="s">
        <v>24</v>
      </c>
      <c r="D54" s="8">
        <f t="shared" si="58"/>
        <v>0</v>
      </c>
      <c r="E54" s="8">
        <f t="shared" si="59"/>
        <v>0</v>
      </c>
      <c r="F54" s="8">
        <f t="shared" si="60"/>
        <v>0</v>
      </c>
      <c r="G54" s="8">
        <f t="shared" si="61"/>
        <v>0</v>
      </c>
      <c r="H54" s="8">
        <f t="shared" si="62"/>
        <v>0</v>
      </c>
      <c r="I54" s="8">
        <f t="shared" si="63"/>
        <v>0</v>
      </c>
    </row>
    <row r="55" spans="3:20" x14ac:dyDescent="0.2">
      <c r="C55" s="69" t="s">
        <v>25</v>
      </c>
      <c r="D55" s="8">
        <f t="shared" si="58"/>
        <v>0</v>
      </c>
      <c r="E55" s="8">
        <f t="shared" si="59"/>
        <v>0</v>
      </c>
      <c r="F55" s="8">
        <f t="shared" si="60"/>
        <v>0</v>
      </c>
      <c r="G55" s="8">
        <f t="shared" si="61"/>
        <v>0</v>
      </c>
      <c r="H55" s="8">
        <f t="shared" si="62"/>
        <v>0</v>
      </c>
      <c r="I55" s="8">
        <f t="shared" si="63"/>
        <v>0</v>
      </c>
    </row>
    <row r="56" spans="3:20" x14ac:dyDescent="0.2">
      <c r="C56" s="69" t="s">
        <v>26</v>
      </c>
      <c r="D56" s="8">
        <f t="shared" si="58"/>
        <v>0</v>
      </c>
      <c r="E56" s="8">
        <f t="shared" si="59"/>
        <v>0</v>
      </c>
      <c r="F56" s="8">
        <f t="shared" si="60"/>
        <v>0</v>
      </c>
      <c r="G56" s="8">
        <f t="shared" si="61"/>
        <v>0</v>
      </c>
      <c r="H56" s="8">
        <f t="shared" si="62"/>
        <v>0</v>
      </c>
      <c r="I56" s="8">
        <f t="shared" si="63"/>
        <v>0</v>
      </c>
    </row>
    <row r="57" spans="3:20" x14ac:dyDescent="0.2">
      <c r="C57" s="70" t="s">
        <v>27</v>
      </c>
      <c r="D57" s="8">
        <f t="shared" si="58"/>
        <v>0</v>
      </c>
      <c r="E57" s="8">
        <f t="shared" si="59"/>
        <v>0</v>
      </c>
      <c r="F57" s="8">
        <f t="shared" si="60"/>
        <v>0</v>
      </c>
      <c r="G57" s="8">
        <f t="shared" si="61"/>
        <v>0</v>
      </c>
      <c r="H57" s="8">
        <f t="shared" si="62"/>
        <v>0</v>
      </c>
      <c r="I57" s="8">
        <f t="shared" si="63"/>
        <v>0</v>
      </c>
    </row>
    <row r="59" spans="3:20" ht="15.75" x14ac:dyDescent="0.25">
      <c r="N59" s="74" t="s">
        <v>47</v>
      </c>
    </row>
    <row r="61" spans="3:20" ht="26.25" x14ac:dyDescent="0.4">
      <c r="N61" s="75" t="s">
        <v>48</v>
      </c>
    </row>
    <row r="62" spans="3:20" x14ac:dyDescent="0.2">
      <c r="D62" s="7">
        <v>1000</v>
      </c>
      <c r="E62" s="7">
        <v>10000</v>
      </c>
      <c r="F62" s="7">
        <v>5000</v>
      </c>
      <c r="G62" s="7">
        <v>-5000</v>
      </c>
      <c r="H62" s="7">
        <v>5000</v>
      </c>
      <c r="I62" s="7">
        <v>10000</v>
      </c>
    </row>
    <row r="63" spans="3:20" x14ac:dyDescent="0.2">
      <c r="D63" s="76" t="s">
        <v>16</v>
      </c>
      <c r="E63" s="77" t="s">
        <v>17</v>
      </c>
      <c r="F63" s="77" t="s">
        <v>18</v>
      </c>
      <c r="G63" s="77" t="s">
        <v>15</v>
      </c>
      <c r="H63" s="77" t="s">
        <v>49</v>
      </c>
      <c r="I63" s="77" t="s">
        <v>50</v>
      </c>
      <c r="J63" s="77" t="s">
        <v>51</v>
      </c>
      <c r="K63" s="78" t="s">
        <v>52</v>
      </c>
      <c r="O63" s="71" t="s">
        <v>16</v>
      </c>
      <c r="P63" s="72" t="s">
        <v>17</v>
      </c>
      <c r="Q63" s="72" t="s">
        <v>18</v>
      </c>
      <c r="R63" s="72" t="s">
        <v>15</v>
      </c>
      <c r="S63" s="72" t="s">
        <v>49</v>
      </c>
      <c r="T63" s="72" t="s">
        <v>53</v>
      </c>
    </row>
    <row r="64" spans="3:20" x14ac:dyDescent="0.2">
      <c r="C64" s="39" t="s">
        <v>19</v>
      </c>
      <c r="D64" s="7" t="e">
        <f ca="1">SUM(INDIRECT("t_"&amp;$C64&amp;"["&amp;D$63&amp;"]"))</f>
        <v>#REF!</v>
      </c>
      <c r="E64" s="7" t="e">
        <f ca="1">SUM(INDIRECT("t_"&amp;$C64&amp;"["&amp;E$63&amp;"]"))</f>
        <v>#REF!</v>
      </c>
      <c r="F64" s="7" t="e">
        <f ca="1">SUM(INDIRECT("t_"&amp;$C64&amp;"["&amp;F$63&amp;"]"))</f>
        <v>#REF!</v>
      </c>
      <c r="G64" s="7">
        <v>0</v>
      </c>
      <c r="H64" s="7" t="e">
        <f ca="1">SUM(INDIRECT("t_"&amp;$C64&amp;"["&amp;H$63&amp;"]"))</f>
        <v>#REF!</v>
      </c>
      <c r="I64" s="79" t="e">
        <f ca="1">AVERAGE(INDIRECT("t_"&amp;$C64&amp;"["&amp;I$63&amp;"]"))</f>
        <v>#REF!</v>
      </c>
      <c r="J64" s="7" t="e">
        <f ca="1">_xlfn.RANK.EQ(D64,$D$64:$D$72)*$D$62+_xlfn.RANK.EQ(E64,$E$64:$E$72)*$E$62+_xlfn.RANK.EQ(F64,$F$64:$F$72)*$F$62+_xlfn.RANK.EQ(G64,$G$64:$G$72)*$G$62+_xlfn.RANK.EQ(H64,$H$64:$H$72)*$H$62+_xlfn.RANK.EQ(I64,$I$64:$I$72)*$I$62</f>
        <v>#REF!</v>
      </c>
      <c r="K64" s="7" t="e">
        <f ca="1">_xlfn.RANK.EQ(J64,$J$64:$J$72)+COUNTIF($J$64:J64,J64)-1</f>
        <v>#REF!</v>
      </c>
      <c r="M64" s="7">
        <v>1</v>
      </c>
      <c r="N64" s="7" t="e">
        <f ca="1">_xlfn.XLOOKUP(M64,$K$64:$K$72,$C$64:$C$72)</f>
        <v>#N/A</v>
      </c>
      <c r="O64" s="8" t="e">
        <f ca="1">_xlfn.XLOOKUP($N64,$C$64:$C$72,D$64:D$72)</f>
        <v>#N/A</v>
      </c>
      <c r="P64" s="8" t="e">
        <f t="shared" ref="P64:T72" ca="1" si="64">_xlfn.SINGLE(_xlfn.XLOOKUP($N64,$C$64:$C$72,E$64:E$72))</f>
        <v>#N/A</v>
      </c>
      <c r="Q64" s="8" t="e">
        <f t="shared" ca="1" si="64"/>
        <v>#N/A</v>
      </c>
      <c r="R64" s="8" t="e">
        <f t="shared" ca="1" si="64"/>
        <v>#N/A</v>
      </c>
      <c r="S64" s="8" t="e">
        <f t="shared" ca="1" si="64"/>
        <v>#N/A</v>
      </c>
      <c r="T64" s="80" t="e">
        <f t="shared" ca="1" si="64"/>
        <v>#N/A</v>
      </c>
    </row>
    <row r="65" spans="3:20" x14ac:dyDescent="0.2">
      <c r="C65" s="69" t="s">
        <v>20</v>
      </c>
      <c r="D65" s="7" t="e">
        <f t="shared" ref="D65:H72" ca="1" si="65">SUM(INDIRECT("t_"&amp;$C65&amp;"["&amp;D$63&amp;"]"))</f>
        <v>#REF!</v>
      </c>
      <c r="E65" s="7" t="e">
        <f t="shared" ca="1" si="65"/>
        <v>#REF!</v>
      </c>
      <c r="F65" s="7" t="e">
        <f t="shared" ca="1" si="65"/>
        <v>#REF!</v>
      </c>
      <c r="G65" s="7" t="e">
        <f t="shared" ca="1" si="65"/>
        <v>#REF!</v>
      </c>
      <c r="H65" s="7" t="e">
        <f t="shared" ca="1" si="65"/>
        <v>#REF!</v>
      </c>
      <c r="I65" s="79" t="e">
        <f t="shared" ref="I65:I72" ca="1" si="66">AVERAGE(INDIRECT("t_"&amp;$C65&amp;"["&amp;I$63&amp;"]"))</f>
        <v>#REF!</v>
      </c>
      <c r="J65" s="7" t="e">
        <f t="shared" ref="J65:J72" ca="1" si="67">_xlfn.RANK.EQ(D65,$D$64:$D$72)*$D$62+_xlfn.RANK.EQ(E65,$E$64:$E$72)*$E$62+_xlfn.RANK.EQ(F65,$F$64:$F$72)*$F$62+_xlfn.RANK.EQ(G65,$G$64:$G$72)*$G$62+_xlfn.RANK.EQ(H65,$H$64:$H$72)*$H$62+_xlfn.RANK.EQ(I65,$I$64:$I$72)*$I$62</f>
        <v>#REF!</v>
      </c>
      <c r="K65" s="7" t="e">
        <f ca="1">_xlfn.RANK.EQ(J65,$J$64:$J$72)+COUNTIF($J$64:J65,J65)-1</f>
        <v>#REF!</v>
      </c>
      <c r="M65" s="7">
        <v>2</v>
      </c>
      <c r="N65" s="7" t="e">
        <f t="shared" ref="N65:N72" ca="1" si="68">_xlfn.XLOOKUP(M65,$K$64:$K$72,$C$64:$C$72)</f>
        <v>#N/A</v>
      </c>
      <c r="O65" s="8" t="e">
        <f t="shared" ref="O65:O72" ca="1" si="69">_xlfn.SINGLE(_xlfn.XLOOKUP($N65,$C$64:$C$72,D$64:D$72))</f>
        <v>#N/A</v>
      </c>
      <c r="P65" s="8" t="e">
        <f t="shared" ca="1" si="64"/>
        <v>#N/A</v>
      </c>
      <c r="Q65" s="8" t="e">
        <f t="shared" ca="1" si="64"/>
        <v>#N/A</v>
      </c>
      <c r="R65" s="8" t="e">
        <f t="shared" ca="1" si="64"/>
        <v>#N/A</v>
      </c>
      <c r="S65" s="8" t="e">
        <f t="shared" ca="1" si="64"/>
        <v>#N/A</v>
      </c>
      <c r="T65" s="80" t="e">
        <f t="shared" ca="1" si="64"/>
        <v>#N/A</v>
      </c>
    </row>
    <row r="66" spans="3:20" x14ac:dyDescent="0.2">
      <c r="C66" s="69" t="s">
        <v>21</v>
      </c>
      <c r="D66" s="7" t="e">
        <f t="shared" ca="1" si="65"/>
        <v>#REF!</v>
      </c>
      <c r="E66" s="7" t="e">
        <f t="shared" ca="1" si="65"/>
        <v>#REF!</v>
      </c>
      <c r="F66" s="7" t="e">
        <f t="shared" ca="1" si="65"/>
        <v>#REF!</v>
      </c>
      <c r="G66" s="7" t="e">
        <f t="shared" ca="1" si="65"/>
        <v>#REF!</v>
      </c>
      <c r="H66" s="7" t="e">
        <f t="shared" ca="1" si="65"/>
        <v>#REF!</v>
      </c>
      <c r="I66" s="79" t="e">
        <f t="shared" ca="1" si="66"/>
        <v>#REF!</v>
      </c>
      <c r="J66" s="7" t="e">
        <f t="shared" ca="1" si="67"/>
        <v>#REF!</v>
      </c>
      <c r="K66" s="7" t="e">
        <f ca="1">_xlfn.RANK.EQ(J66,$J$64:$J$72)+COUNTIF($J$64:J66,J66)-1</f>
        <v>#REF!</v>
      </c>
      <c r="M66" s="7">
        <v>3</v>
      </c>
      <c r="N66" s="7" t="e">
        <f t="shared" ca="1" si="68"/>
        <v>#N/A</v>
      </c>
      <c r="O66" s="8" t="e">
        <f t="shared" ca="1" si="69"/>
        <v>#N/A</v>
      </c>
      <c r="P66" s="8" t="e">
        <f t="shared" ca="1" si="64"/>
        <v>#N/A</v>
      </c>
      <c r="Q66" s="8" t="e">
        <f t="shared" ca="1" si="64"/>
        <v>#N/A</v>
      </c>
      <c r="R66" s="8" t="e">
        <f t="shared" ca="1" si="64"/>
        <v>#N/A</v>
      </c>
      <c r="S66" s="8" t="e">
        <f t="shared" ca="1" si="64"/>
        <v>#N/A</v>
      </c>
      <c r="T66" s="80" t="e">
        <f t="shared" ca="1" si="64"/>
        <v>#N/A</v>
      </c>
    </row>
    <row r="67" spans="3:20" x14ac:dyDescent="0.2">
      <c r="C67" s="69" t="s">
        <v>22</v>
      </c>
      <c r="D67" s="7" t="e">
        <f t="shared" ca="1" si="65"/>
        <v>#REF!</v>
      </c>
      <c r="E67" s="7" t="e">
        <f t="shared" ca="1" si="65"/>
        <v>#REF!</v>
      </c>
      <c r="F67" s="7" t="e">
        <f t="shared" ca="1" si="65"/>
        <v>#REF!</v>
      </c>
      <c r="G67" s="7" t="e">
        <f t="shared" ca="1" si="65"/>
        <v>#REF!</v>
      </c>
      <c r="H67" s="7" t="e">
        <f t="shared" ca="1" si="65"/>
        <v>#REF!</v>
      </c>
      <c r="I67" s="79" t="e">
        <f t="shared" ca="1" si="66"/>
        <v>#REF!</v>
      </c>
      <c r="J67" s="7" t="e">
        <f t="shared" ca="1" si="67"/>
        <v>#REF!</v>
      </c>
      <c r="K67" s="7" t="e">
        <f ca="1">_xlfn.RANK.EQ(J67,$J$64:$J$72)+COUNTIF($J$64:J67,J67)-1</f>
        <v>#REF!</v>
      </c>
      <c r="M67" s="7">
        <v>4</v>
      </c>
      <c r="N67" s="7" t="e">
        <f t="shared" ca="1" si="68"/>
        <v>#N/A</v>
      </c>
      <c r="O67" s="8" t="e">
        <f t="shared" ca="1" si="69"/>
        <v>#N/A</v>
      </c>
      <c r="P67" s="8" t="e">
        <f t="shared" ca="1" si="64"/>
        <v>#N/A</v>
      </c>
      <c r="Q67" s="8" t="e">
        <f t="shared" ca="1" si="64"/>
        <v>#N/A</v>
      </c>
      <c r="R67" s="8" t="e">
        <f t="shared" ca="1" si="64"/>
        <v>#N/A</v>
      </c>
      <c r="S67" s="8" t="e">
        <f t="shared" ca="1" si="64"/>
        <v>#N/A</v>
      </c>
      <c r="T67" s="80" t="e">
        <f t="shared" ca="1" si="64"/>
        <v>#N/A</v>
      </c>
    </row>
    <row r="68" spans="3:20" x14ac:dyDescent="0.2">
      <c r="C68" s="69" t="s">
        <v>23</v>
      </c>
      <c r="D68" s="7" t="e">
        <f t="shared" ca="1" si="65"/>
        <v>#REF!</v>
      </c>
      <c r="E68" s="7" t="e">
        <f t="shared" ca="1" si="65"/>
        <v>#REF!</v>
      </c>
      <c r="F68" s="7" t="e">
        <f t="shared" ca="1" si="65"/>
        <v>#REF!</v>
      </c>
      <c r="G68" s="7" t="e">
        <f t="shared" ca="1" si="65"/>
        <v>#REF!</v>
      </c>
      <c r="H68" s="7" t="e">
        <f t="shared" ca="1" si="65"/>
        <v>#REF!</v>
      </c>
      <c r="I68" s="79" t="e">
        <f t="shared" ca="1" si="66"/>
        <v>#REF!</v>
      </c>
      <c r="J68" s="7" t="e">
        <f t="shared" ca="1" si="67"/>
        <v>#REF!</v>
      </c>
      <c r="K68" s="7" t="e">
        <f ca="1">_xlfn.RANK.EQ(J68,$J$64:$J$72)+COUNTIF($J$64:J68,J68)-1</f>
        <v>#REF!</v>
      </c>
      <c r="M68" s="7">
        <v>5</v>
      </c>
      <c r="N68" s="7" t="e">
        <f t="shared" ca="1" si="68"/>
        <v>#N/A</v>
      </c>
      <c r="O68" s="8" t="e">
        <f t="shared" ca="1" si="69"/>
        <v>#N/A</v>
      </c>
      <c r="P68" s="8" t="e">
        <f t="shared" ca="1" si="64"/>
        <v>#N/A</v>
      </c>
      <c r="Q68" s="8" t="e">
        <f t="shared" ca="1" si="64"/>
        <v>#N/A</v>
      </c>
      <c r="R68" s="8" t="e">
        <f t="shared" ca="1" si="64"/>
        <v>#N/A</v>
      </c>
      <c r="S68" s="8" t="e">
        <f t="shared" ca="1" si="64"/>
        <v>#N/A</v>
      </c>
      <c r="T68" s="80" t="e">
        <f t="shared" ca="1" si="64"/>
        <v>#N/A</v>
      </c>
    </row>
    <row r="69" spans="3:20" x14ac:dyDescent="0.2">
      <c r="C69" s="69" t="s">
        <v>24</v>
      </c>
      <c r="D69" s="7" t="e">
        <f t="shared" ca="1" si="65"/>
        <v>#REF!</v>
      </c>
      <c r="E69" s="7" t="e">
        <f t="shared" ca="1" si="65"/>
        <v>#REF!</v>
      </c>
      <c r="F69" s="7" t="e">
        <f t="shared" ca="1" si="65"/>
        <v>#REF!</v>
      </c>
      <c r="G69" s="7" t="e">
        <f t="shared" ca="1" si="65"/>
        <v>#REF!</v>
      </c>
      <c r="H69" s="7" t="e">
        <f t="shared" ca="1" si="65"/>
        <v>#REF!</v>
      </c>
      <c r="I69" s="79" t="e">
        <f t="shared" ca="1" si="66"/>
        <v>#REF!</v>
      </c>
      <c r="J69" s="7" t="e">
        <f t="shared" ca="1" si="67"/>
        <v>#REF!</v>
      </c>
      <c r="K69" s="7" t="e">
        <f ca="1">_xlfn.RANK.EQ(J69,$J$64:$J$72)+COUNTIF($J$64:J69,J69)-1</f>
        <v>#REF!</v>
      </c>
      <c r="M69" s="7">
        <v>6</v>
      </c>
      <c r="N69" s="7" t="e">
        <f t="shared" ca="1" si="68"/>
        <v>#N/A</v>
      </c>
      <c r="O69" s="8" t="e">
        <f t="shared" ca="1" si="69"/>
        <v>#N/A</v>
      </c>
      <c r="P69" s="8" t="e">
        <f t="shared" ca="1" si="64"/>
        <v>#N/A</v>
      </c>
      <c r="Q69" s="8" t="e">
        <f t="shared" ca="1" si="64"/>
        <v>#N/A</v>
      </c>
      <c r="R69" s="8" t="e">
        <f t="shared" ca="1" si="64"/>
        <v>#N/A</v>
      </c>
      <c r="S69" s="8" t="e">
        <f t="shared" ca="1" si="64"/>
        <v>#N/A</v>
      </c>
      <c r="T69" s="80" t="e">
        <f t="shared" ca="1" si="64"/>
        <v>#N/A</v>
      </c>
    </row>
    <row r="70" spans="3:20" x14ac:dyDescent="0.2">
      <c r="C70" s="69" t="s">
        <v>25</v>
      </c>
      <c r="D70" s="7" t="e">
        <f t="shared" ca="1" si="65"/>
        <v>#REF!</v>
      </c>
      <c r="E70" s="7" t="e">
        <f t="shared" ca="1" si="65"/>
        <v>#REF!</v>
      </c>
      <c r="F70" s="7" t="e">
        <f t="shared" ca="1" si="65"/>
        <v>#REF!</v>
      </c>
      <c r="G70" s="7" t="e">
        <f t="shared" ca="1" si="65"/>
        <v>#REF!</v>
      </c>
      <c r="H70" s="7" t="e">
        <f t="shared" ca="1" si="65"/>
        <v>#REF!</v>
      </c>
      <c r="I70" s="79" t="e">
        <f t="shared" ca="1" si="66"/>
        <v>#REF!</v>
      </c>
      <c r="J70" s="7" t="e">
        <f t="shared" ca="1" si="67"/>
        <v>#REF!</v>
      </c>
      <c r="K70" s="7" t="e">
        <f ca="1">_xlfn.RANK.EQ(J70,$J$64:$J$72)+COUNTIF($J$64:J70,J70)-1</f>
        <v>#REF!</v>
      </c>
      <c r="M70" s="7">
        <v>7</v>
      </c>
      <c r="N70" s="7" t="e">
        <f t="shared" ca="1" si="68"/>
        <v>#N/A</v>
      </c>
      <c r="O70" s="8" t="e">
        <f t="shared" ca="1" si="69"/>
        <v>#N/A</v>
      </c>
      <c r="P70" s="8" t="e">
        <f t="shared" ca="1" si="64"/>
        <v>#N/A</v>
      </c>
      <c r="Q70" s="8" t="e">
        <f t="shared" ca="1" si="64"/>
        <v>#N/A</v>
      </c>
      <c r="R70" s="8" t="e">
        <f t="shared" ca="1" si="64"/>
        <v>#N/A</v>
      </c>
      <c r="S70" s="8" t="e">
        <f t="shared" ca="1" si="64"/>
        <v>#N/A</v>
      </c>
      <c r="T70" s="80" t="e">
        <f t="shared" ca="1" si="64"/>
        <v>#N/A</v>
      </c>
    </row>
    <row r="71" spans="3:20" x14ac:dyDescent="0.2">
      <c r="C71" s="69" t="s">
        <v>26</v>
      </c>
      <c r="D71" s="7" t="e">
        <f t="shared" ca="1" si="65"/>
        <v>#REF!</v>
      </c>
      <c r="E71" s="7" t="e">
        <f t="shared" ca="1" si="65"/>
        <v>#REF!</v>
      </c>
      <c r="F71" s="7" t="e">
        <f t="shared" ca="1" si="65"/>
        <v>#REF!</v>
      </c>
      <c r="G71" s="7" t="e">
        <f t="shared" ca="1" si="65"/>
        <v>#REF!</v>
      </c>
      <c r="H71" s="7" t="e">
        <f t="shared" ca="1" si="65"/>
        <v>#REF!</v>
      </c>
      <c r="I71" s="79" t="e">
        <f t="shared" ca="1" si="66"/>
        <v>#REF!</v>
      </c>
      <c r="J71" s="7" t="e">
        <f t="shared" ca="1" si="67"/>
        <v>#REF!</v>
      </c>
      <c r="K71" s="7" t="e">
        <f ca="1">_xlfn.RANK.EQ(J71,$J$64:$J$72)+COUNTIF($J$64:J71,J71)-1</f>
        <v>#REF!</v>
      </c>
      <c r="M71" s="7">
        <v>8</v>
      </c>
      <c r="N71" s="7" t="e">
        <f t="shared" ca="1" si="68"/>
        <v>#N/A</v>
      </c>
      <c r="O71" s="8" t="e">
        <f t="shared" ca="1" si="69"/>
        <v>#N/A</v>
      </c>
      <c r="P71" s="8" t="e">
        <f t="shared" ca="1" si="64"/>
        <v>#N/A</v>
      </c>
      <c r="Q71" s="8" t="e">
        <f t="shared" ca="1" si="64"/>
        <v>#N/A</v>
      </c>
      <c r="R71" s="8" t="e">
        <f t="shared" ca="1" si="64"/>
        <v>#N/A</v>
      </c>
      <c r="S71" s="8" t="e">
        <f t="shared" ca="1" si="64"/>
        <v>#N/A</v>
      </c>
      <c r="T71" s="80" t="e">
        <f t="shared" ca="1" si="64"/>
        <v>#N/A</v>
      </c>
    </row>
    <row r="72" spans="3:20" x14ac:dyDescent="0.2">
      <c r="C72" s="70" t="s">
        <v>27</v>
      </c>
      <c r="D72" s="7" t="e">
        <f t="shared" ca="1" si="65"/>
        <v>#REF!</v>
      </c>
      <c r="E72" s="7" t="e">
        <f t="shared" ca="1" si="65"/>
        <v>#REF!</v>
      </c>
      <c r="F72" s="7" t="e">
        <f t="shared" ca="1" si="65"/>
        <v>#REF!</v>
      </c>
      <c r="G72" s="7" t="e">
        <f t="shared" ca="1" si="65"/>
        <v>#REF!</v>
      </c>
      <c r="H72" s="7" t="e">
        <f t="shared" ca="1" si="65"/>
        <v>#REF!</v>
      </c>
      <c r="I72" s="79" t="e">
        <f t="shared" ca="1" si="66"/>
        <v>#REF!</v>
      </c>
      <c r="J72" s="7" t="e">
        <f t="shared" ca="1" si="67"/>
        <v>#REF!</v>
      </c>
      <c r="K72" s="7" t="e">
        <f ca="1">_xlfn.RANK.EQ(J72,$J$64:$J$72)+COUNTIF($J$64:J72,J72)-1</f>
        <v>#REF!</v>
      </c>
      <c r="M72" s="7">
        <v>9</v>
      </c>
      <c r="N72" s="7" t="e">
        <f t="shared" ca="1" si="68"/>
        <v>#N/A</v>
      </c>
      <c r="O72" s="8" t="e">
        <f t="shared" ca="1" si="69"/>
        <v>#N/A</v>
      </c>
      <c r="P72" s="8" t="e">
        <f t="shared" ca="1" si="64"/>
        <v>#N/A</v>
      </c>
      <c r="Q72" s="8" t="e">
        <f t="shared" ca="1" si="64"/>
        <v>#N/A</v>
      </c>
      <c r="R72" s="8" t="e">
        <f t="shared" ca="1" si="64"/>
        <v>#N/A</v>
      </c>
      <c r="S72" s="8" t="e">
        <f t="shared" ca="1" si="64"/>
        <v>#N/A</v>
      </c>
      <c r="T72" s="80" t="e">
        <f t="shared" ca="1" si="64"/>
        <v>#N/A</v>
      </c>
    </row>
  </sheetData>
  <sortState xmlns:xlrd2="http://schemas.microsoft.com/office/spreadsheetml/2017/richdata2" ref="BU5:BX13">
    <sortCondition descending="1" ref="BX5:BX13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2E06E-D9F6-4266-9577-8E500FFEAE44}">
  <sheetPr codeName="Ark1"/>
  <dimension ref="A1:AU157"/>
  <sheetViews>
    <sheetView showGridLines="0" topLeftCell="AA1" zoomScaleNormal="100" workbookViewId="0">
      <pane ySplit="1" topLeftCell="A2" activePane="bottomLeft" state="frozen"/>
      <selection activeCell="AO1" sqref="AO1"/>
      <selection pane="bottomLeft" activeCell="AO1" sqref="AO1"/>
    </sheetView>
  </sheetViews>
  <sheetFormatPr baseColWidth="10" defaultColWidth="11.42578125" defaultRowHeight="12.75" x14ac:dyDescent="0.2"/>
  <cols>
    <col min="3" max="3" width="4.42578125" bestFit="1" customWidth="1"/>
    <col min="4" max="11" width="4" bestFit="1" customWidth="1"/>
    <col min="12" max="12" width="5.5703125" customWidth="1"/>
    <col min="13" max="15" width="7.42578125" customWidth="1"/>
    <col min="16" max="16" width="10.28515625" bestFit="1" customWidth="1"/>
    <col min="17" max="17" width="7.42578125" customWidth="1"/>
    <col min="38" max="40" width="11.42578125" style="4"/>
    <col min="43" max="43" width="11.42578125" style="27"/>
  </cols>
  <sheetData>
    <row r="1" spans="1:47" ht="13.5" thickBot="1" x14ac:dyDescent="0.25">
      <c r="B1" t="s">
        <v>37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s="26" t="s">
        <v>40</v>
      </c>
      <c r="L1" s="18"/>
      <c r="M1" s="18"/>
      <c r="N1" s="18"/>
      <c r="O1" s="16" t="s">
        <v>19</v>
      </c>
      <c r="P1" s="23" t="s">
        <v>37</v>
      </c>
      <c r="Q1" s="24" t="s">
        <v>64</v>
      </c>
      <c r="R1" s="24" t="s">
        <v>65</v>
      </c>
      <c r="S1" s="24" t="s">
        <v>66</v>
      </c>
      <c r="T1" s="24" t="s">
        <v>67</v>
      </c>
      <c r="U1" s="24" t="s">
        <v>68</v>
      </c>
      <c r="V1" s="24" t="s">
        <v>69</v>
      </c>
      <c r="W1" s="24" t="s">
        <v>70</v>
      </c>
      <c r="X1" s="24" t="s">
        <v>71</v>
      </c>
      <c r="Y1" s="21" t="s">
        <v>40</v>
      </c>
      <c r="AA1" s="23"/>
      <c r="AB1" s="24" t="s">
        <v>72</v>
      </c>
      <c r="AC1" s="24"/>
      <c r="AD1" s="24"/>
      <c r="AE1" s="24"/>
      <c r="AF1" s="24"/>
      <c r="AG1" s="24"/>
      <c r="AH1" s="24"/>
      <c r="AI1" s="24"/>
      <c r="AJ1" s="21"/>
      <c r="AK1" s="29"/>
      <c r="AL1" s="23"/>
      <c r="AM1" s="24" t="s">
        <v>32</v>
      </c>
      <c r="AN1" s="24"/>
      <c r="AO1" s="24"/>
      <c r="AP1" s="24"/>
      <c r="AQ1" s="24"/>
      <c r="AR1" s="24"/>
      <c r="AS1" s="24"/>
      <c r="AT1" s="24"/>
      <c r="AU1" s="21"/>
    </row>
    <row r="2" spans="1:47" ht="14.25" thickTop="1" thickBot="1" x14ac:dyDescent="0.25">
      <c r="A2">
        <v>1</v>
      </c>
      <c r="B2" s="5" t="e">
        <f>#REF!</f>
        <v>#REF!</v>
      </c>
      <c r="C2" t="e">
        <f>_xlfn.XLOOKUP(t_rang[[#This Row],[Dato]],#REF!,#REF!)</f>
        <v>#REF!</v>
      </c>
      <c r="D2" t="e">
        <f>_xlfn.XLOOKUP(t_rang[[#This Row],[Dato]],#REF!,#REF!)</f>
        <v>#REF!</v>
      </c>
      <c r="E2" t="e">
        <f>_xlfn.XLOOKUP(t_rang[[#This Row],[Dato]],#REF!,#REF!)</f>
        <v>#REF!</v>
      </c>
      <c r="F2" t="e">
        <f>_xlfn.XLOOKUP(t_rang[[#This Row],[Dato]],#REF!,#REF!)</f>
        <v>#REF!</v>
      </c>
      <c r="G2" t="e">
        <f>_xlfn.XLOOKUP(t_rang[[#This Row],[Dato]],#REF!,#REF!)</f>
        <v>#REF!</v>
      </c>
      <c r="H2" t="e">
        <f>_xlfn.XLOOKUP(t_rang[[#This Row],[Dato]],#REF!,#REF!)</f>
        <v>#REF!</v>
      </c>
      <c r="I2" t="e">
        <f>_xlfn.XLOOKUP(t_rang[[#This Row],[Dato]],#REF!,#REF!)</f>
        <v>#REF!</v>
      </c>
      <c r="J2" t="e">
        <f>_xlfn.XLOOKUP(t_rang[[#This Row],[Dato]],#REF!,#REF!)</f>
        <v>#REF!</v>
      </c>
      <c r="K2" s="19" t="e">
        <f>_xlfn.XLOOKUP(t_rang[[#This Row],[Dato]],#REF!,#REF!)</f>
        <v>#REF!</v>
      </c>
      <c r="L2" s="19"/>
      <c r="M2" s="19"/>
      <c r="N2" s="19"/>
      <c r="O2" s="14"/>
      <c r="P2" s="22" t="e">
        <f>#REF!</f>
        <v>#REF!</v>
      </c>
      <c r="Q2" s="14" t="e">
        <f>#REF!</f>
        <v>#REF!</v>
      </c>
      <c r="R2" s="14" t="e">
        <f>#REF!</f>
        <v>#REF!</v>
      </c>
      <c r="S2" s="14" t="e">
        <f>#REF!</f>
        <v>#REF!</v>
      </c>
      <c r="T2" s="14" t="e">
        <f>#REF!</f>
        <v>#REF!</v>
      </c>
      <c r="U2" s="14" t="e">
        <f>#REF!</f>
        <v>#REF!</v>
      </c>
      <c r="V2" s="14" t="e">
        <f>#REF!</f>
        <v>#REF!</v>
      </c>
      <c r="W2" s="14" t="e">
        <f>#REF!</f>
        <v>#REF!</v>
      </c>
      <c r="X2" s="14" t="e">
        <f>#REF!</f>
        <v>#REF!</v>
      </c>
      <c r="Y2" s="14" t="e">
        <f>#REF!</f>
        <v>#REF!</v>
      </c>
      <c r="AA2" s="30" t="e">
        <f>t_tp[[#This Row],[Dato]]</f>
        <v>#REF!</v>
      </c>
      <c r="AB2" s="31" t="str" cm="1">
        <f t="array" ref="AB2">IFERROR(_xlfn._xlws.FILTER($Q$1:$Y$1,t_tp[[#This Row],[ahh]:[lev]]=LARGE(t_tp[[#This Row],[ahh]:[lev]],1)),"")</f>
        <v/>
      </c>
      <c r="AC2" s="31"/>
      <c r="AD2" s="31"/>
      <c r="AE2" s="31"/>
      <c r="AF2" s="31"/>
      <c r="AG2" s="31"/>
      <c r="AH2" s="31"/>
      <c r="AI2" s="31"/>
      <c r="AJ2" s="32"/>
      <c r="AK2" s="4"/>
      <c r="AL2" s="30" t="e">
        <f>AA2</f>
        <v>#REF!</v>
      </c>
      <c r="AM2" s="31" t="str" cm="1">
        <f t="array" ref="AM2">IFERROR(_xlfn._xlws.FILTER($Q$1:$Y$1,t_tp[[#This Row],[ahh]:[lev]]=SMALL(t_tp[[#This Row],[ahh]:[lev]],1)),"")</f>
        <v/>
      </c>
      <c r="AN2" s="31"/>
      <c r="AO2" s="31"/>
      <c r="AP2" s="31"/>
      <c r="AQ2" s="31"/>
      <c r="AR2" s="31"/>
      <c r="AS2" s="31"/>
      <c r="AT2" s="31"/>
      <c r="AU2" s="32"/>
    </row>
    <row r="3" spans="1:47" ht="14.25" thickTop="1" thickBot="1" x14ac:dyDescent="0.25">
      <c r="A3">
        <v>2</v>
      </c>
      <c r="B3" s="5" t="e">
        <f>#REF!</f>
        <v>#REF!</v>
      </c>
      <c r="C3" t="e">
        <f>_xlfn.XLOOKUP(t_rang[[#This Row],[Dato]],#REF!,#REF!)</f>
        <v>#REF!</v>
      </c>
      <c r="D3" t="e">
        <f>_xlfn.XLOOKUP(t_rang[[#This Row],[Dato]],#REF!,#REF!)</f>
        <v>#REF!</v>
      </c>
      <c r="E3" t="e">
        <f>_xlfn.XLOOKUP(t_rang[[#This Row],[Dato]],#REF!,#REF!)</f>
        <v>#REF!</v>
      </c>
      <c r="F3" t="e">
        <f>_xlfn.XLOOKUP(t_rang[[#This Row],[Dato]],#REF!,#REF!)</f>
        <v>#REF!</v>
      </c>
      <c r="G3" t="e">
        <f>_xlfn.XLOOKUP(t_rang[[#This Row],[Dato]],#REF!,#REF!)</f>
        <v>#REF!</v>
      </c>
      <c r="H3" t="e">
        <f>_xlfn.XLOOKUP(t_rang[[#This Row],[Dato]],#REF!,#REF!)</f>
        <v>#REF!</v>
      </c>
      <c r="I3" t="e">
        <f>_xlfn.XLOOKUP(t_rang[[#This Row],[Dato]],#REF!,#REF!)</f>
        <v>#REF!</v>
      </c>
      <c r="J3" t="e">
        <f>_xlfn.XLOOKUP(t_rang[[#This Row],[Dato]],#REF!,#REF!)</f>
        <v>#REF!</v>
      </c>
      <c r="K3" s="20" t="e">
        <f>_xlfn.XLOOKUP(t_rang[[#This Row],[Dato]],#REF!,#REF!)</f>
        <v>#REF!</v>
      </c>
      <c r="L3" s="20"/>
      <c r="M3" s="20"/>
      <c r="N3" s="20"/>
      <c r="O3" s="15"/>
      <c r="P3" s="22" t="e">
        <f>#REF!</f>
        <v>#REF!</v>
      </c>
      <c r="Q3" s="14" t="e">
        <f>#REF!</f>
        <v>#REF!</v>
      </c>
      <c r="R3" s="14" t="e">
        <f>#REF!</f>
        <v>#REF!</v>
      </c>
      <c r="S3" s="14" t="e">
        <f>#REF!</f>
        <v>#REF!</v>
      </c>
      <c r="T3" s="14" t="e">
        <f>#REF!</f>
        <v>#REF!</v>
      </c>
      <c r="U3" s="14" t="e">
        <f>#REF!</f>
        <v>#REF!</v>
      </c>
      <c r="V3" s="14" t="e">
        <f>#REF!</f>
        <v>#REF!</v>
      </c>
      <c r="W3" s="14" t="e">
        <f>#REF!</f>
        <v>#REF!</v>
      </c>
      <c r="X3" s="14" t="e">
        <f>#REF!</f>
        <v>#REF!</v>
      </c>
      <c r="Y3" s="14" t="e">
        <f>#REF!</f>
        <v>#REF!</v>
      </c>
      <c r="AA3" s="33" t="e">
        <f>t_tp[[#This Row],[Dato]]</f>
        <v>#REF!</v>
      </c>
      <c r="AB3" s="34" t="str" cm="1">
        <f t="array" ref="AB3">IFERROR(_xlfn._xlws.FILTER($Q$1:$Y$1,t_tp[[#This Row],[ahh]:[lev]]=LARGE(t_tp[[#This Row],[ahh]:[lev]],1)),"")</f>
        <v/>
      </c>
      <c r="AC3" s="34"/>
      <c r="AD3" s="34"/>
      <c r="AE3" s="34"/>
      <c r="AF3" s="34"/>
      <c r="AG3" s="34"/>
      <c r="AH3" s="34"/>
      <c r="AI3" s="34"/>
      <c r="AJ3" s="35"/>
      <c r="AK3" s="4"/>
      <c r="AL3" s="33" t="e">
        <f t="shared" ref="AL3:AL42" si="0">AA3</f>
        <v>#REF!</v>
      </c>
      <c r="AM3" s="34" t="str" cm="1">
        <f t="array" ref="AM3">IFERROR(_xlfn._xlws.FILTER($Q$1:$Y$1,t_tp[[#This Row],[ahh]:[lev]]=SMALL(t_tp[[#This Row],[ahh]:[lev]],1)),"")</f>
        <v/>
      </c>
      <c r="AN3" s="34"/>
      <c r="AO3" s="34"/>
      <c r="AP3" s="34"/>
      <c r="AQ3" s="34"/>
      <c r="AR3" s="34"/>
      <c r="AS3" s="34"/>
      <c r="AT3" s="34"/>
      <c r="AU3" s="35"/>
    </row>
    <row r="4" spans="1:47" ht="14.25" thickTop="1" thickBot="1" x14ac:dyDescent="0.25">
      <c r="A4">
        <v>3</v>
      </c>
      <c r="B4" s="5" t="e">
        <f>#REF!</f>
        <v>#REF!</v>
      </c>
      <c r="C4" t="e">
        <f>_xlfn.XLOOKUP(t_rang[[#This Row],[Dato]],#REF!,#REF!)</f>
        <v>#REF!</v>
      </c>
      <c r="D4" t="e">
        <f>_xlfn.XLOOKUP(t_rang[[#This Row],[Dato]],#REF!,#REF!)</f>
        <v>#REF!</v>
      </c>
      <c r="E4" t="e">
        <f>_xlfn.XLOOKUP(t_rang[[#This Row],[Dato]],#REF!,#REF!)</f>
        <v>#REF!</v>
      </c>
      <c r="F4" t="e">
        <f>_xlfn.XLOOKUP(t_rang[[#This Row],[Dato]],#REF!,#REF!)</f>
        <v>#REF!</v>
      </c>
      <c r="G4" t="e">
        <f>_xlfn.XLOOKUP(t_rang[[#This Row],[Dato]],#REF!,#REF!)</f>
        <v>#REF!</v>
      </c>
      <c r="H4" t="e">
        <f>_xlfn.XLOOKUP(t_rang[[#This Row],[Dato]],#REF!,#REF!)</f>
        <v>#REF!</v>
      </c>
      <c r="I4" t="e">
        <f>_xlfn.XLOOKUP(t_rang[[#This Row],[Dato]],#REF!,#REF!)</f>
        <v>#REF!</v>
      </c>
      <c r="J4" t="e">
        <f>_xlfn.XLOOKUP(t_rang[[#This Row],[Dato]],#REF!,#REF!)</f>
        <v>#REF!</v>
      </c>
      <c r="K4" s="20" t="e">
        <f>_xlfn.XLOOKUP(t_rang[[#This Row],[Dato]],#REF!,#REF!)</f>
        <v>#REF!</v>
      </c>
      <c r="L4" s="20"/>
      <c r="M4" s="20"/>
      <c r="N4" s="20"/>
      <c r="O4" s="15"/>
      <c r="P4" s="22" t="e">
        <f>#REF!</f>
        <v>#REF!</v>
      </c>
      <c r="Q4" s="14" t="e">
        <f>#REF!</f>
        <v>#REF!</v>
      </c>
      <c r="R4" s="14" t="e">
        <f>#REF!</f>
        <v>#REF!</v>
      </c>
      <c r="S4" s="14" t="e">
        <f>#REF!</f>
        <v>#REF!</v>
      </c>
      <c r="T4" s="14" t="e">
        <f>#REF!</f>
        <v>#REF!</v>
      </c>
      <c r="U4" s="14" t="e">
        <f>#REF!</f>
        <v>#REF!</v>
      </c>
      <c r="V4" s="14" t="e">
        <f>#REF!</f>
        <v>#REF!</v>
      </c>
      <c r="W4" s="14" t="e">
        <f>#REF!</f>
        <v>#REF!</v>
      </c>
      <c r="X4" s="14" t="e">
        <f>#REF!</f>
        <v>#REF!</v>
      </c>
      <c r="Y4" s="14" t="e">
        <f>#REF!</f>
        <v>#REF!</v>
      </c>
      <c r="AA4" s="30" t="e">
        <f>t_tp[[#This Row],[Dato]]</f>
        <v>#REF!</v>
      </c>
      <c r="AB4" s="31" t="str" cm="1">
        <f t="array" ref="AB4">IFERROR(_xlfn._xlws.FILTER($Q$1:$Y$1,t_tp[[#This Row],[ahh]:[lev]]=LARGE(t_tp[[#This Row],[ahh]:[lev]],1)),"")</f>
        <v/>
      </c>
      <c r="AC4" s="31"/>
      <c r="AD4" s="31"/>
      <c r="AE4" s="31"/>
      <c r="AF4" s="31"/>
      <c r="AG4" s="31"/>
      <c r="AH4" s="31"/>
      <c r="AI4" s="31"/>
      <c r="AJ4" s="32"/>
      <c r="AK4" s="4"/>
      <c r="AL4" s="30" t="e">
        <f t="shared" si="0"/>
        <v>#REF!</v>
      </c>
      <c r="AM4" s="31" t="str" cm="1">
        <f t="array" ref="AM4">IFERROR(_xlfn._xlws.FILTER($Q$1:$Y$1,t_tp[[#This Row],[ahh]:[lev]]=SMALL(t_tp[[#This Row],[ahh]:[lev]],1)),"")</f>
        <v/>
      </c>
      <c r="AN4" s="31"/>
      <c r="AO4" s="31"/>
      <c r="AP4" s="31"/>
      <c r="AQ4" s="31"/>
      <c r="AR4" s="31"/>
      <c r="AS4" s="31"/>
      <c r="AT4" s="31"/>
      <c r="AU4" s="32"/>
    </row>
    <row r="5" spans="1:47" ht="14.25" thickTop="1" thickBot="1" x14ac:dyDescent="0.25">
      <c r="A5">
        <v>4</v>
      </c>
      <c r="B5" s="5" t="e">
        <f>#REF!</f>
        <v>#REF!</v>
      </c>
      <c r="C5" t="e">
        <f>_xlfn.XLOOKUP(t_rang[[#This Row],[Dato]],#REF!,#REF!)</f>
        <v>#REF!</v>
      </c>
      <c r="D5" t="e">
        <f>_xlfn.XLOOKUP(t_rang[[#This Row],[Dato]],#REF!,#REF!)</f>
        <v>#REF!</v>
      </c>
      <c r="E5" t="e">
        <f>_xlfn.XLOOKUP(t_rang[[#This Row],[Dato]],#REF!,#REF!)</f>
        <v>#REF!</v>
      </c>
      <c r="F5" t="e">
        <f>_xlfn.XLOOKUP(t_rang[[#This Row],[Dato]],#REF!,#REF!)</f>
        <v>#REF!</v>
      </c>
      <c r="G5" t="e">
        <f>_xlfn.XLOOKUP(t_rang[[#This Row],[Dato]],#REF!,#REF!)</f>
        <v>#REF!</v>
      </c>
      <c r="H5" t="e">
        <f>_xlfn.XLOOKUP(t_rang[[#This Row],[Dato]],#REF!,#REF!)</f>
        <v>#REF!</v>
      </c>
      <c r="I5" t="e">
        <f>_xlfn.XLOOKUP(t_rang[[#This Row],[Dato]],#REF!,#REF!)</f>
        <v>#REF!</v>
      </c>
      <c r="J5" t="e">
        <f>_xlfn.XLOOKUP(t_rang[[#This Row],[Dato]],#REF!,#REF!)</f>
        <v>#REF!</v>
      </c>
      <c r="K5" s="20" t="e">
        <f>_xlfn.XLOOKUP(t_rang[[#This Row],[Dato]],#REF!,#REF!)</f>
        <v>#REF!</v>
      </c>
      <c r="L5" s="20"/>
      <c r="M5" s="20"/>
      <c r="N5" s="20"/>
      <c r="O5" s="15"/>
      <c r="P5" s="22" t="e">
        <f>#REF!</f>
        <v>#REF!</v>
      </c>
      <c r="Q5" s="14" t="e">
        <f>#REF!</f>
        <v>#REF!</v>
      </c>
      <c r="R5" s="14" t="e">
        <f>#REF!</f>
        <v>#REF!</v>
      </c>
      <c r="S5" s="14" t="e">
        <f>#REF!</f>
        <v>#REF!</v>
      </c>
      <c r="T5" s="14" t="e">
        <f>#REF!</f>
        <v>#REF!</v>
      </c>
      <c r="U5" s="14" t="e">
        <f>#REF!</f>
        <v>#REF!</v>
      </c>
      <c r="V5" s="14" t="e">
        <f>#REF!</f>
        <v>#REF!</v>
      </c>
      <c r="W5" s="14" t="e">
        <f>#REF!</f>
        <v>#REF!</v>
      </c>
      <c r="X5" s="14" t="e">
        <f>#REF!</f>
        <v>#REF!</v>
      </c>
      <c r="Y5" s="14" t="e">
        <f>#REF!</f>
        <v>#REF!</v>
      </c>
      <c r="AA5" s="33" t="e">
        <f>t_tp[[#This Row],[Dato]]</f>
        <v>#REF!</v>
      </c>
      <c r="AB5" s="34" t="str" cm="1">
        <f t="array" ref="AB5">IFERROR(_xlfn._xlws.FILTER($Q$1:$Y$1,t_tp[[#This Row],[ahh]:[lev]]=LARGE(t_tp[[#This Row],[ahh]:[lev]],1)),"")</f>
        <v/>
      </c>
      <c r="AC5" s="34"/>
      <c r="AD5" s="34"/>
      <c r="AE5" s="34"/>
      <c r="AF5" s="34"/>
      <c r="AG5" s="34"/>
      <c r="AH5" s="34"/>
      <c r="AI5" s="34"/>
      <c r="AJ5" s="35"/>
      <c r="AK5" s="4"/>
      <c r="AL5" s="33" t="e">
        <f t="shared" si="0"/>
        <v>#REF!</v>
      </c>
      <c r="AM5" s="34" t="str" cm="1">
        <f t="array" ref="AM5">IFERROR(_xlfn._xlws.FILTER($Q$1:$Y$1,t_tp[[#This Row],[ahh]:[lev]]=SMALL(t_tp[[#This Row],[ahh]:[lev]],1)),"")</f>
        <v/>
      </c>
      <c r="AN5" s="34"/>
      <c r="AO5" s="34"/>
      <c r="AP5" s="34"/>
      <c r="AQ5" s="34"/>
      <c r="AR5" s="34"/>
      <c r="AS5" s="34"/>
      <c r="AT5" s="34"/>
      <c r="AU5" s="35"/>
    </row>
    <row r="6" spans="1:47" ht="14.25" thickTop="1" thickBot="1" x14ac:dyDescent="0.25">
      <c r="A6">
        <v>5</v>
      </c>
      <c r="B6" s="5" t="e">
        <f>#REF!</f>
        <v>#REF!</v>
      </c>
      <c r="C6" t="e">
        <f>_xlfn.XLOOKUP(t_rang[[#This Row],[Dato]],#REF!,#REF!)</f>
        <v>#REF!</v>
      </c>
      <c r="D6" t="e">
        <f>_xlfn.XLOOKUP(t_rang[[#This Row],[Dato]],#REF!,#REF!)</f>
        <v>#REF!</v>
      </c>
      <c r="E6" t="e">
        <f>_xlfn.XLOOKUP(t_rang[[#This Row],[Dato]],#REF!,#REF!)</f>
        <v>#REF!</v>
      </c>
      <c r="F6" t="e">
        <f>_xlfn.XLOOKUP(t_rang[[#This Row],[Dato]],#REF!,#REF!)</f>
        <v>#REF!</v>
      </c>
      <c r="G6" t="e">
        <f>_xlfn.XLOOKUP(t_rang[[#This Row],[Dato]],#REF!,#REF!)</f>
        <v>#REF!</v>
      </c>
      <c r="H6" t="e">
        <f>_xlfn.XLOOKUP(t_rang[[#This Row],[Dato]],#REF!,#REF!)</f>
        <v>#REF!</v>
      </c>
      <c r="I6" t="e">
        <f>_xlfn.XLOOKUP(t_rang[[#This Row],[Dato]],#REF!,#REF!)</f>
        <v>#REF!</v>
      </c>
      <c r="J6" t="e">
        <f>_xlfn.XLOOKUP(t_rang[[#This Row],[Dato]],#REF!,#REF!)</f>
        <v>#REF!</v>
      </c>
      <c r="K6" s="20" t="e">
        <f>_xlfn.XLOOKUP(t_rang[[#This Row],[Dato]],#REF!,#REF!)</f>
        <v>#REF!</v>
      </c>
      <c r="L6" s="20"/>
      <c r="M6" s="20"/>
      <c r="N6" s="20"/>
      <c r="O6" s="15"/>
      <c r="P6" s="22" t="e">
        <f>#REF!</f>
        <v>#REF!</v>
      </c>
      <c r="Q6" s="14" t="e">
        <f>#REF!</f>
        <v>#REF!</v>
      </c>
      <c r="R6" s="14" t="e">
        <f>#REF!</f>
        <v>#REF!</v>
      </c>
      <c r="S6" s="14" t="e">
        <f>#REF!</f>
        <v>#REF!</v>
      </c>
      <c r="T6" s="14" t="e">
        <f>#REF!</f>
        <v>#REF!</v>
      </c>
      <c r="U6" s="14" t="e">
        <f>#REF!</f>
        <v>#REF!</v>
      </c>
      <c r="V6" s="14" t="e">
        <f>#REF!</f>
        <v>#REF!</v>
      </c>
      <c r="W6" s="14" t="e">
        <f>#REF!</f>
        <v>#REF!</v>
      </c>
      <c r="X6" s="14" t="e">
        <f>#REF!</f>
        <v>#REF!</v>
      </c>
      <c r="Y6" s="14" t="e">
        <f>#REF!</f>
        <v>#REF!</v>
      </c>
      <c r="AA6" s="30" t="e">
        <f>t_tp[[#This Row],[Dato]]</f>
        <v>#REF!</v>
      </c>
      <c r="AB6" s="31" t="str" cm="1">
        <f t="array" ref="AB6">IFERROR(_xlfn._xlws.FILTER($Q$1:$Y$1,t_tp[[#This Row],[ahh]:[lev]]=LARGE(t_tp[[#This Row],[ahh]:[lev]],1)),"")</f>
        <v/>
      </c>
      <c r="AC6" s="31"/>
      <c r="AD6" s="31"/>
      <c r="AE6" s="31"/>
      <c r="AF6" s="31"/>
      <c r="AG6" s="31"/>
      <c r="AH6" s="31"/>
      <c r="AI6" s="31"/>
      <c r="AJ6" s="32"/>
      <c r="AK6" s="4"/>
      <c r="AL6" s="30" t="e">
        <f t="shared" si="0"/>
        <v>#REF!</v>
      </c>
      <c r="AM6" s="31" t="str" cm="1">
        <f t="array" ref="AM6">IFERROR(_xlfn._xlws.FILTER($Q$1:$Y$1,t_tp[[#This Row],[ahh]:[lev]]=SMALL(t_tp[[#This Row],[ahh]:[lev]],1)),"")</f>
        <v/>
      </c>
      <c r="AN6" s="31"/>
      <c r="AO6" s="31"/>
      <c r="AP6" s="31"/>
      <c r="AQ6" s="31"/>
      <c r="AR6" s="31"/>
      <c r="AS6" s="31"/>
      <c r="AT6" s="31"/>
      <c r="AU6" s="32"/>
    </row>
    <row r="7" spans="1:47" ht="14.25" thickTop="1" thickBot="1" x14ac:dyDescent="0.25">
      <c r="A7">
        <v>6</v>
      </c>
      <c r="B7" s="5" t="e">
        <f>#REF!</f>
        <v>#REF!</v>
      </c>
      <c r="C7" t="e">
        <f>_xlfn.XLOOKUP(t_rang[[#This Row],[Dato]],#REF!,#REF!)</f>
        <v>#REF!</v>
      </c>
      <c r="D7" t="e">
        <f>_xlfn.XLOOKUP(t_rang[[#This Row],[Dato]],#REF!,#REF!)</f>
        <v>#REF!</v>
      </c>
      <c r="E7" t="e">
        <f>_xlfn.XLOOKUP(t_rang[[#This Row],[Dato]],#REF!,#REF!)</f>
        <v>#REF!</v>
      </c>
      <c r="F7" t="e">
        <f>_xlfn.XLOOKUP(t_rang[[#This Row],[Dato]],#REF!,#REF!)</f>
        <v>#REF!</v>
      </c>
      <c r="G7" t="e">
        <f>_xlfn.XLOOKUP(t_rang[[#This Row],[Dato]],#REF!,#REF!)</f>
        <v>#REF!</v>
      </c>
      <c r="H7" t="e">
        <f>_xlfn.XLOOKUP(t_rang[[#This Row],[Dato]],#REF!,#REF!)</f>
        <v>#REF!</v>
      </c>
      <c r="I7" t="e">
        <f>_xlfn.XLOOKUP(t_rang[[#This Row],[Dato]],#REF!,#REF!)</f>
        <v>#REF!</v>
      </c>
      <c r="J7" t="e">
        <f>_xlfn.XLOOKUP(t_rang[[#This Row],[Dato]],#REF!,#REF!)</f>
        <v>#REF!</v>
      </c>
      <c r="K7" s="20" t="e">
        <f>_xlfn.XLOOKUP(t_rang[[#This Row],[Dato]],#REF!,#REF!)</f>
        <v>#REF!</v>
      </c>
      <c r="L7" s="20"/>
      <c r="M7" s="20"/>
      <c r="N7" s="20"/>
      <c r="O7" s="15"/>
      <c r="P7" s="22" t="e">
        <f>#REF!</f>
        <v>#REF!</v>
      </c>
      <c r="Q7" s="14" t="e">
        <f>#REF!</f>
        <v>#REF!</v>
      </c>
      <c r="R7" s="14" t="e">
        <f>#REF!</f>
        <v>#REF!</v>
      </c>
      <c r="S7" s="14" t="e">
        <f>#REF!</f>
        <v>#REF!</v>
      </c>
      <c r="T7" s="14" t="e">
        <f>#REF!</f>
        <v>#REF!</v>
      </c>
      <c r="U7" s="14" t="e">
        <f>#REF!</f>
        <v>#REF!</v>
      </c>
      <c r="V7" s="14" t="e">
        <f>#REF!</f>
        <v>#REF!</v>
      </c>
      <c r="W7" s="14" t="e">
        <f>#REF!</f>
        <v>#REF!</v>
      </c>
      <c r="X7" s="14" t="e">
        <f>#REF!</f>
        <v>#REF!</v>
      </c>
      <c r="Y7" s="14" t="e">
        <f>#REF!</f>
        <v>#REF!</v>
      </c>
      <c r="AA7" s="33" t="e">
        <f>t_tp[[#This Row],[Dato]]</f>
        <v>#REF!</v>
      </c>
      <c r="AB7" s="34" t="str" cm="1">
        <f t="array" ref="AB7">IFERROR(_xlfn._xlws.FILTER($Q$1:$Y$1,t_tp[[#This Row],[ahh]:[lev]]=LARGE(t_tp[[#This Row],[ahh]:[lev]],1)),"")</f>
        <v/>
      </c>
      <c r="AC7" s="34"/>
      <c r="AD7" s="34"/>
      <c r="AE7" s="34"/>
      <c r="AF7" s="34"/>
      <c r="AG7" s="34"/>
      <c r="AH7" s="34"/>
      <c r="AI7" s="34"/>
      <c r="AJ7" s="35"/>
      <c r="AK7" s="4"/>
      <c r="AL7" s="33" t="e">
        <f t="shared" si="0"/>
        <v>#REF!</v>
      </c>
      <c r="AM7" s="34" t="str" cm="1">
        <f t="array" ref="AM7">IFERROR(_xlfn._xlws.FILTER($Q$1:$Y$1,t_tp[[#This Row],[ahh]:[lev]]=SMALL(t_tp[[#This Row],[ahh]:[lev]],1)),"")</f>
        <v/>
      </c>
      <c r="AN7" s="34"/>
      <c r="AO7" s="34"/>
      <c r="AP7" s="34"/>
      <c r="AQ7" s="34"/>
      <c r="AR7" s="34"/>
      <c r="AS7" s="34"/>
      <c r="AT7" s="34"/>
      <c r="AU7" s="35"/>
    </row>
    <row r="8" spans="1:47" ht="14.25" thickTop="1" thickBot="1" x14ac:dyDescent="0.25">
      <c r="A8">
        <v>7</v>
      </c>
      <c r="B8" s="5" t="e">
        <f>#REF!</f>
        <v>#REF!</v>
      </c>
      <c r="C8" t="e">
        <f>_xlfn.XLOOKUP(t_rang[[#This Row],[Dato]],#REF!,#REF!)</f>
        <v>#REF!</v>
      </c>
      <c r="D8" t="e">
        <f>_xlfn.XLOOKUP(t_rang[[#This Row],[Dato]],#REF!,#REF!)</f>
        <v>#REF!</v>
      </c>
      <c r="E8" t="e">
        <f>_xlfn.XLOOKUP(t_rang[[#This Row],[Dato]],#REF!,#REF!)</f>
        <v>#REF!</v>
      </c>
      <c r="F8" t="e">
        <f>_xlfn.XLOOKUP(t_rang[[#This Row],[Dato]],#REF!,#REF!)</f>
        <v>#REF!</v>
      </c>
      <c r="G8" t="e">
        <f>_xlfn.XLOOKUP(t_rang[[#This Row],[Dato]],#REF!,#REF!)</f>
        <v>#REF!</v>
      </c>
      <c r="H8" t="e">
        <f>_xlfn.XLOOKUP(t_rang[[#This Row],[Dato]],#REF!,#REF!)</f>
        <v>#REF!</v>
      </c>
      <c r="I8" t="e">
        <f>_xlfn.XLOOKUP(t_rang[[#This Row],[Dato]],#REF!,#REF!)</f>
        <v>#REF!</v>
      </c>
      <c r="J8" t="e">
        <f>_xlfn.XLOOKUP(t_rang[[#This Row],[Dato]],#REF!,#REF!)</f>
        <v>#REF!</v>
      </c>
      <c r="K8" s="20" t="e">
        <f>_xlfn.XLOOKUP(t_rang[[#This Row],[Dato]],#REF!,#REF!)</f>
        <v>#REF!</v>
      </c>
      <c r="L8" s="20"/>
      <c r="M8" s="20"/>
      <c r="N8" s="20"/>
      <c r="O8" s="15"/>
      <c r="P8" s="22" t="e">
        <f>#REF!</f>
        <v>#REF!</v>
      </c>
      <c r="Q8" s="14" t="e">
        <f>#REF!</f>
        <v>#REF!</v>
      </c>
      <c r="R8" s="14" t="e">
        <f>#REF!</f>
        <v>#REF!</v>
      </c>
      <c r="S8" s="14" t="e">
        <f>#REF!</f>
        <v>#REF!</v>
      </c>
      <c r="T8" s="14" t="e">
        <f>#REF!</f>
        <v>#REF!</v>
      </c>
      <c r="U8" s="14" t="e">
        <f>#REF!</f>
        <v>#REF!</v>
      </c>
      <c r="V8" s="14" t="e">
        <f>#REF!</f>
        <v>#REF!</v>
      </c>
      <c r="W8" s="14" t="e">
        <f>#REF!</f>
        <v>#REF!</v>
      </c>
      <c r="X8" s="14" t="e">
        <f>#REF!</f>
        <v>#REF!</v>
      </c>
      <c r="Y8" s="14" t="e">
        <f>#REF!</f>
        <v>#REF!</v>
      </c>
      <c r="AA8" s="30" t="e">
        <f>t_tp[[#This Row],[Dato]]</f>
        <v>#REF!</v>
      </c>
      <c r="AB8" s="31" t="str" cm="1">
        <f t="array" ref="AB8">IFERROR(_xlfn._xlws.FILTER($Q$1:$Y$1,t_tp[[#This Row],[ahh]:[lev]]=LARGE(t_tp[[#This Row],[ahh]:[lev]],1)),"")</f>
        <v/>
      </c>
      <c r="AC8" s="31"/>
      <c r="AD8" s="31"/>
      <c r="AE8" s="31"/>
      <c r="AF8" s="31"/>
      <c r="AG8" s="31"/>
      <c r="AH8" s="31"/>
      <c r="AI8" s="31"/>
      <c r="AJ8" s="32"/>
      <c r="AK8" s="4"/>
      <c r="AL8" s="30" t="e">
        <f t="shared" si="0"/>
        <v>#REF!</v>
      </c>
      <c r="AM8" s="31" t="str" cm="1">
        <f t="array" ref="AM8">IFERROR(_xlfn._xlws.FILTER($Q$1:$Y$1,t_tp[[#This Row],[ahh]:[lev]]=SMALL(t_tp[[#This Row],[ahh]:[lev]],1)),"")</f>
        <v/>
      </c>
      <c r="AN8" s="31"/>
      <c r="AO8" s="31"/>
      <c r="AP8" s="31"/>
      <c r="AQ8" s="31"/>
      <c r="AR8" s="31"/>
      <c r="AS8" s="31"/>
      <c r="AT8" s="31"/>
      <c r="AU8" s="32"/>
    </row>
    <row r="9" spans="1:47" ht="14.25" thickTop="1" thickBot="1" x14ac:dyDescent="0.25">
      <c r="A9">
        <v>8</v>
      </c>
      <c r="B9" s="5" t="e">
        <f>#REF!</f>
        <v>#REF!</v>
      </c>
      <c r="C9" t="e">
        <f>_xlfn.XLOOKUP(t_rang[[#This Row],[Dato]],#REF!,#REF!)</f>
        <v>#REF!</v>
      </c>
      <c r="D9" t="e">
        <f>_xlfn.XLOOKUP(t_rang[[#This Row],[Dato]],#REF!,#REF!)</f>
        <v>#REF!</v>
      </c>
      <c r="E9" t="e">
        <f>_xlfn.XLOOKUP(t_rang[[#This Row],[Dato]],#REF!,#REF!)</f>
        <v>#REF!</v>
      </c>
      <c r="F9" t="e">
        <f>_xlfn.XLOOKUP(t_rang[[#This Row],[Dato]],#REF!,#REF!)</f>
        <v>#REF!</v>
      </c>
      <c r="G9" t="e">
        <f>_xlfn.XLOOKUP(t_rang[[#This Row],[Dato]],#REF!,#REF!)</f>
        <v>#REF!</v>
      </c>
      <c r="H9" t="e">
        <f>_xlfn.XLOOKUP(t_rang[[#This Row],[Dato]],#REF!,#REF!)</f>
        <v>#REF!</v>
      </c>
      <c r="I9" t="e">
        <f>_xlfn.XLOOKUP(t_rang[[#This Row],[Dato]],#REF!,#REF!)</f>
        <v>#REF!</v>
      </c>
      <c r="J9" t="e">
        <f>_xlfn.XLOOKUP(t_rang[[#This Row],[Dato]],#REF!,#REF!)</f>
        <v>#REF!</v>
      </c>
      <c r="K9" s="20" t="e">
        <f>_xlfn.XLOOKUP(t_rang[[#This Row],[Dato]],#REF!,#REF!)</f>
        <v>#REF!</v>
      </c>
      <c r="L9" s="20"/>
      <c r="M9" s="20"/>
      <c r="N9" s="20"/>
      <c r="O9" s="15"/>
      <c r="P9" s="22" t="e">
        <f>#REF!</f>
        <v>#REF!</v>
      </c>
      <c r="Q9" s="14" t="e">
        <f>#REF!</f>
        <v>#REF!</v>
      </c>
      <c r="R9" s="14" t="e">
        <f>#REF!</f>
        <v>#REF!</v>
      </c>
      <c r="S9" s="14" t="e">
        <f>#REF!</f>
        <v>#REF!</v>
      </c>
      <c r="T9" s="14" t="e">
        <f>#REF!</f>
        <v>#REF!</v>
      </c>
      <c r="U9" s="14" t="e">
        <f>#REF!</f>
        <v>#REF!</v>
      </c>
      <c r="V9" s="14" t="e">
        <f>#REF!</f>
        <v>#REF!</v>
      </c>
      <c r="W9" s="14" t="e">
        <f>#REF!</f>
        <v>#REF!</v>
      </c>
      <c r="X9" s="14" t="e">
        <f>#REF!</f>
        <v>#REF!</v>
      </c>
      <c r="Y9" s="14" t="e">
        <f>#REF!</f>
        <v>#REF!</v>
      </c>
      <c r="AA9" s="33" t="e">
        <f>t_tp[[#This Row],[Dato]]</f>
        <v>#REF!</v>
      </c>
      <c r="AB9" s="34" t="str" cm="1">
        <f t="array" ref="AB9">IFERROR(_xlfn._xlws.FILTER($Q$1:$Y$1,t_tp[[#This Row],[ahh]:[lev]]=LARGE(t_tp[[#This Row],[ahh]:[lev]],1)),"")</f>
        <v/>
      </c>
      <c r="AC9" s="34"/>
      <c r="AD9" s="34"/>
      <c r="AE9" s="34"/>
      <c r="AF9" s="34"/>
      <c r="AG9" s="34"/>
      <c r="AH9" s="34"/>
      <c r="AI9" s="34"/>
      <c r="AJ9" s="35"/>
      <c r="AK9" s="4"/>
      <c r="AL9" s="33" t="e">
        <f t="shared" si="0"/>
        <v>#REF!</v>
      </c>
      <c r="AM9" s="34" t="str" cm="1">
        <f t="array" ref="AM9">IFERROR(_xlfn._xlws.FILTER($Q$1:$Y$1,t_tp[[#This Row],[ahh]:[lev]]=SMALL(t_tp[[#This Row],[ahh]:[lev]],1)),"")</f>
        <v/>
      </c>
      <c r="AN9" s="34"/>
      <c r="AO9" s="34"/>
      <c r="AP9" s="34"/>
      <c r="AQ9" s="34"/>
      <c r="AR9" s="34"/>
      <c r="AS9" s="34"/>
      <c r="AT9" s="34"/>
      <c r="AU9" s="35"/>
    </row>
    <row r="10" spans="1:47" ht="14.25" thickTop="1" thickBot="1" x14ac:dyDescent="0.25">
      <c r="A10">
        <v>9</v>
      </c>
      <c r="B10" s="5" t="e">
        <f>#REF!</f>
        <v>#REF!</v>
      </c>
      <c r="C10" t="e">
        <f>_xlfn.XLOOKUP(t_rang[[#This Row],[Dato]],#REF!,#REF!)</f>
        <v>#REF!</v>
      </c>
      <c r="D10" t="e">
        <f>_xlfn.XLOOKUP(t_rang[[#This Row],[Dato]],#REF!,#REF!)</f>
        <v>#REF!</v>
      </c>
      <c r="E10" t="e">
        <f>_xlfn.XLOOKUP(t_rang[[#This Row],[Dato]],#REF!,#REF!)</f>
        <v>#REF!</v>
      </c>
      <c r="F10" t="e">
        <f>_xlfn.XLOOKUP(t_rang[[#This Row],[Dato]],#REF!,#REF!)</f>
        <v>#REF!</v>
      </c>
      <c r="G10" t="e">
        <f>_xlfn.XLOOKUP(t_rang[[#This Row],[Dato]],#REF!,#REF!)</f>
        <v>#REF!</v>
      </c>
      <c r="H10" t="e">
        <f>_xlfn.XLOOKUP(t_rang[[#This Row],[Dato]],#REF!,#REF!)</f>
        <v>#REF!</v>
      </c>
      <c r="I10" t="e">
        <f>_xlfn.XLOOKUP(t_rang[[#This Row],[Dato]],#REF!,#REF!)</f>
        <v>#REF!</v>
      </c>
      <c r="J10" t="e">
        <f>_xlfn.XLOOKUP(t_rang[[#This Row],[Dato]],#REF!,#REF!)</f>
        <v>#REF!</v>
      </c>
      <c r="K10" s="20" t="e">
        <f>_xlfn.XLOOKUP(t_rang[[#This Row],[Dato]],#REF!,#REF!)</f>
        <v>#REF!</v>
      </c>
      <c r="L10" s="20"/>
      <c r="M10" s="20"/>
      <c r="N10" s="20"/>
      <c r="O10" s="15"/>
      <c r="P10" s="22" t="e">
        <f>#REF!</f>
        <v>#REF!</v>
      </c>
      <c r="Q10" s="14" t="e">
        <f>#REF!</f>
        <v>#REF!</v>
      </c>
      <c r="R10" s="14" t="e">
        <f>#REF!</f>
        <v>#REF!</v>
      </c>
      <c r="S10" s="14" t="e">
        <f>#REF!</f>
        <v>#REF!</v>
      </c>
      <c r="T10" s="14" t="e">
        <f>#REF!</f>
        <v>#REF!</v>
      </c>
      <c r="U10" s="14" t="e">
        <f>#REF!</f>
        <v>#REF!</v>
      </c>
      <c r="V10" s="14" t="e">
        <f>#REF!</f>
        <v>#REF!</v>
      </c>
      <c r="W10" s="14" t="e">
        <f>#REF!</f>
        <v>#REF!</v>
      </c>
      <c r="X10" s="14" t="e">
        <f>#REF!</f>
        <v>#REF!</v>
      </c>
      <c r="Y10" s="14" t="e">
        <f>#REF!</f>
        <v>#REF!</v>
      </c>
      <c r="AA10" s="30" t="e">
        <f>t_tp[[#This Row],[Dato]]</f>
        <v>#REF!</v>
      </c>
      <c r="AB10" s="31" t="str" cm="1">
        <f t="array" ref="AB10">IFERROR(_xlfn._xlws.FILTER($Q$1:$Y$1,t_tp[[#This Row],[ahh]:[lev]]=LARGE(t_tp[[#This Row],[ahh]:[lev]],1)),"")</f>
        <v/>
      </c>
      <c r="AC10" s="31"/>
      <c r="AD10" s="31"/>
      <c r="AE10" s="31"/>
      <c r="AF10" s="31"/>
      <c r="AG10" s="31"/>
      <c r="AH10" s="31"/>
      <c r="AI10" s="31"/>
      <c r="AJ10" s="32"/>
      <c r="AK10" s="4"/>
      <c r="AL10" s="30" t="e">
        <f t="shared" si="0"/>
        <v>#REF!</v>
      </c>
      <c r="AM10" s="31" t="str" cm="1">
        <f t="array" ref="AM10">IFERROR(_xlfn._xlws.FILTER($Q$1:$Y$1,t_tp[[#This Row],[ahh]:[lev]]=SMALL(t_tp[[#This Row],[ahh]:[lev]],1)),"")</f>
        <v/>
      </c>
      <c r="AN10" s="31"/>
      <c r="AO10" s="31"/>
      <c r="AP10" s="31"/>
      <c r="AQ10" s="31"/>
      <c r="AR10" s="31"/>
      <c r="AS10" s="31"/>
      <c r="AT10" s="31"/>
      <c r="AU10" s="32"/>
    </row>
    <row r="11" spans="1:47" ht="14.25" thickTop="1" thickBot="1" x14ac:dyDescent="0.25">
      <c r="A11">
        <v>10</v>
      </c>
      <c r="B11" s="5" t="e">
        <f>#REF!</f>
        <v>#REF!</v>
      </c>
      <c r="C11" t="e">
        <f>_xlfn.XLOOKUP(t_rang[[#This Row],[Dato]],#REF!,#REF!)</f>
        <v>#REF!</v>
      </c>
      <c r="D11" t="e">
        <f>_xlfn.XLOOKUP(t_rang[[#This Row],[Dato]],#REF!,#REF!)</f>
        <v>#REF!</v>
      </c>
      <c r="E11" t="e">
        <f>_xlfn.XLOOKUP(t_rang[[#This Row],[Dato]],#REF!,#REF!)</f>
        <v>#REF!</v>
      </c>
      <c r="F11" t="e">
        <f>_xlfn.XLOOKUP(t_rang[[#This Row],[Dato]],#REF!,#REF!)</f>
        <v>#REF!</v>
      </c>
      <c r="G11" t="e">
        <f>_xlfn.XLOOKUP(t_rang[[#This Row],[Dato]],#REF!,#REF!)</f>
        <v>#REF!</v>
      </c>
      <c r="H11" t="e">
        <f>_xlfn.XLOOKUP(t_rang[[#This Row],[Dato]],#REF!,#REF!)</f>
        <v>#REF!</v>
      </c>
      <c r="I11" t="e">
        <f>_xlfn.XLOOKUP(t_rang[[#This Row],[Dato]],#REF!,#REF!)</f>
        <v>#REF!</v>
      </c>
      <c r="J11" t="e">
        <f>_xlfn.XLOOKUP(t_rang[[#This Row],[Dato]],#REF!,#REF!)</f>
        <v>#REF!</v>
      </c>
      <c r="K11" s="20" t="e">
        <f>_xlfn.XLOOKUP(t_rang[[#This Row],[Dato]],#REF!,#REF!)</f>
        <v>#REF!</v>
      </c>
      <c r="L11" s="20"/>
      <c r="M11" s="20"/>
      <c r="N11" s="20"/>
      <c r="O11" s="15"/>
      <c r="P11" s="22" t="e">
        <f>#REF!</f>
        <v>#REF!</v>
      </c>
      <c r="Q11" s="14" t="e">
        <f>#REF!</f>
        <v>#REF!</v>
      </c>
      <c r="R11" s="14" t="e">
        <f>#REF!</f>
        <v>#REF!</v>
      </c>
      <c r="S11" s="14" t="e">
        <f>#REF!</f>
        <v>#REF!</v>
      </c>
      <c r="T11" s="14" t="e">
        <f>#REF!</f>
        <v>#REF!</v>
      </c>
      <c r="U11" s="14" t="e">
        <f>#REF!</f>
        <v>#REF!</v>
      </c>
      <c r="V11" s="14" t="e">
        <f>#REF!</f>
        <v>#REF!</v>
      </c>
      <c r="W11" s="14" t="e">
        <f>#REF!</f>
        <v>#REF!</v>
      </c>
      <c r="X11" s="14" t="e">
        <f>#REF!</f>
        <v>#REF!</v>
      </c>
      <c r="Y11" s="14" t="e">
        <f>#REF!</f>
        <v>#REF!</v>
      </c>
      <c r="AA11" s="33" t="e">
        <f>t_tp[[#This Row],[Dato]]</f>
        <v>#REF!</v>
      </c>
      <c r="AB11" s="34" t="str" cm="1">
        <f t="array" ref="AB11">IFERROR(_xlfn._xlws.FILTER($Q$1:$Y$1,t_tp[[#This Row],[ahh]:[lev]]=LARGE(t_tp[[#This Row],[ahh]:[lev]],1)),"")</f>
        <v/>
      </c>
      <c r="AC11" s="34"/>
      <c r="AD11" s="34"/>
      <c r="AE11" s="34"/>
      <c r="AF11" s="34"/>
      <c r="AG11" s="34"/>
      <c r="AH11" s="34"/>
      <c r="AI11" s="34"/>
      <c r="AJ11" s="35"/>
      <c r="AK11" s="4"/>
      <c r="AL11" s="33" t="e">
        <f t="shared" si="0"/>
        <v>#REF!</v>
      </c>
      <c r="AM11" s="34" t="str" cm="1">
        <f t="array" ref="AM11">IFERROR(_xlfn._xlws.FILTER($Q$1:$Y$1,t_tp[[#This Row],[ahh]:[lev]]=SMALL(t_tp[[#This Row],[ahh]:[lev]],1)),"")</f>
        <v/>
      </c>
      <c r="AN11" s="34"/>
      <c r="AO11" s="34"/>
      <c r="AP11" s="34"/>
      <c r="AQ11" s="34"/>
      <c r="AR11" s="34"/>
      <c r="AS11" s="34"/>
      <c r="AT11" s="34"/>
      <c r="AU11" s="35"/>
    </row>
    <row r="12" spans="1:47" ht="14.25" thickTop="1" thickBot="1" x14ac:dyDescent="0.25">
      <c r="A12">
        <v>11</v>
      </c>
      <c r="B12" s="5" t="e">
        <f>#REF!</f>
        <v>#REF!</v>
      </c>
      <c r="C12" t="e">
        <f>_xlfn.XLOOKUP(t_rang[[#This Row],[Dato]],#REF!,#REF!)</f>
        <v>#REF!</v>
      </c>
      <c r="D12" t="e">
        <f>_xlfn.XLOOKUP(t_rang[[#This Row],[Dato]],#REF!,#REF!)</f>
        <v>#REF!</v>
      </c>
      <c r="E12" t="e">
        <f>_xlfn.XLOOKUP(t_rang[[#This Row],[Dato]],#REF!,#REF!)</f>
        <v>#REF!</v>
      </c>
      <c r="F12" t="e">
        <f>_xlfn.XLOOKUP(t_rang[[#This Row],[Dato]],#REF!,#REF!)</f>
        <v>#REF!</v>
      </c>
      <c r="G12" t="e">
        <f>_xlfn.XLOOKUP(t_rang[[#This Row],[Dato]],#REF!,#REF!)</f>
        <v>#REF!</v>
      </c>
      <c r="H12" t="e">
        <f>_xlfn.XLOOKUP(t_rang[[#This Row],[Dato]],#REF!,#REF!)</f>
        <v>#REF!</v>
      </c>
      <c r="I12" t="e">
        <f>_xlfn.XLOOKUP(t_rang[[#This Row],[Dato]],#REF!,#REF!)</f>
        <v>#REF!</v>
      </c>
      <c r="J12" t="e">
        <f>_xlfn.XLOOKUP(t_rang[[#This Row],[Dato]],#REF!,#REF!)</f>
        <v>#REF!</v>
      </c>
      <c r="K12" s="20" t="e">
        <f>_xlfn.XLOOKUP(t_rang[[#This Row],[Dato]],#REF!,#REF!)</f>
        <v>#REF!</v>
      </c>
      <c r="L12" s="20"/>
      <c r="M12" s="20"/>
      <c r="N12" s="20"/>
      <c r="O12" s="15"/>
      <c r="P12" s="22" t="e">
        <f>#REF!</f>
        <v>#REF!</v>
      </c>
      <c r="Q12" s="14" t="e">
        <f>#REF!</f>
        <v>#REF!</v>
      </c>
      <c r="R12" s="14" t="e">
        <f>#REF!</f>
        <v>#REF!</v>
      </c>
      <c r="S12" s="14" t="e">
        <f>#REF!</f>
        <v>#REF!</v>
      </c>
      <c r="T12" s="14" t="e">
        <f>#REF!</f>
        <v>#REF!</v>
      </c>
      <c r="U12" s="14" t="e">
        <f>#REF!</f>
        <v>#REF!</v>
      </c>
      <c r="V12" s="14" t="e">
        <f>#REF!</f>
        <v>#REF!</v>
      </c>
      <c r="W12" s="14" t="e">
        <f>#REF!</f>
        <v>#REF!</v>
      </c>
      <c r="X12" s="14" t="e">
        <f>#REF!</f>
        <v>#REF!</v>
      </c>
      <c r="Y12" s="14" t="e">
        <f>#REF!</f>
        <v>#REF!</v>
      </c>
      <c r="AA12" s="30" t="e">
        <f>t_tp[[#This Row],[Dato]]</f>
        <v>#REF!</v>
      </c>
      <c r="AB12" s="31" t="str" cm="1">
        <f t="array" ref="AB12">IFERROR(_xlfn._xlws.FILTER($Q$1:$Y$1,t_tp[[#This Row],[ahh]:[lev]]=LARGE(t_tp[[#This Row],[ahh]:[lev]],1)),"")</f>
        <v/>
      </c>
      <c r="AC12" s="31"/>
      <c r="AD12" s="31"/>
      <c r="AE12" s="31"/>
      <c r="AF12" s="31"/>
      <c r="AG12" s="31"/>
      <c r="AH12" s="31"/>
      <c r="AI12" s="31"/>
      <c r="AJ12" s="32"/>
      <c r="AK12" s="4"/>
      <c r="AL12" s="30" t="e">
        <f t="shared" si="0"/>
        <v>#REF!</v>
      </c>
      <c r="AM12" s="31" t="str" cm="1">
        <f t="array" ref="AM12">IFERROR(_xlfn._xlws.FILTER($Q$1:$Y$1,t_tp[[#This Row],[ahh]:[lev]]=SMALL(t_tp[[#This Row],[ahh]:[lev]],1)),"")</f>
        <v/>
      </c>
      <c r="AN12" s="31"/>
      <c r="AO12" s="31"/>
      <c r="AP12" s="31"/>
      <c r="AQ12" s="31"/>
      <c r="AR12" s="31"/>
      <c r="AS12" s="31"/>
      <c r="AT12" s="31"/>
      <c r="AU12" s="32"/>
    </row>
    <row r="13" spans="1:47" ht="14.25" thickTop="1" thickBot="1" x14ac:dyDescent="0.25">
      <c r="A13">
        <v>12</v>
      </c>
      <c r="B13" s="5" t="e">
        <f>#REF!</f>
        <v>#REF!</v>
      </c>
      <c r="C13" t="e">
        <f>_xlfn.XLOOKUP(t_rang[[#This Row],[Dato]],#REF!,#REF!)</f>
        <v>#REF!</v>
      </c>
      <c r="D13" t="e">
        <f>_xlfn.XLOOKUP(t_rang[[#This Row],[Dato]],#REF!,#REF!)</f>
        <v>#REF!</v>
      </c>
      <c r="E13" t="e">
        <f>_xlfn.XLOOKUP(t_rang[[#This Row],[Dato]],#REF!,#REF!)</f>
        <v>#REF!</v>
      </c>
      <c r="F13" t="e">
        <f>_xlfn.XLOOKUP(t_rang[[#This Row],[Dato]],#REF!,#REF!)</f>
        <v>#REF!</v>
      </c>
      <c r="G13" t="e">
        <f>_xlfn.XLOOKUP(t_rang[[#This Row],[Dato]],#REF!,#REF!)</f>
        <v>#REF!</v>
      </c>
      <c r="H13" t="e">
        <f>_xlfn.XLOOKUP(t_rang[[#This Row],[Dato]],#REF!,#REF!)</f>
        <v>#REF!</v>
      </c>
      <c r="I13" t="e">
        <f>_xlfn.XLOOKUP(t_rang[[#This Row],[Dato]],#REF!,#REF!)</f>
        <v>#REF!</v>
      </c>
      <c r="J13" t="e">
        <f>_xlfn.XLOOKUP(t_rang[[#This Row],[Dato]],#REF!,#REF!)</f>
        <v>#REF!</v>
      </c>
      <c r="K13" s="20" t="e">
        <f>_xlfn.XLOOKUP(t_rang[[#This Row],[Dato]],#REF!,#REF!)</f>
        <v>#REF!</v>
      </c>
      <c r="L13" s="20"/>
      <c r="M13" s="20"/>
      <c r="N13" s="20"/>
      <c r="O13" s="15"/>
      <c r="P13" s="22" t="e">
        <f>#REF!</f>
        <v>#REF!</v>
      </c>
      <c r="Q13" s="14" t="e">
        <f>#REF!</f>
        <v>#REF!</v>
      </c>
      <c r="R13" s="14" t="e">
        <f>#REF!</f>
        <v>#REF!</v>
      </c>
      <c r="S13" s="14" t="e">
        <f>#REF!</f>
        <v>#REF!</v>
      </c>
      <c r="T13" s="14" t="e">
        <f>#REF!</f>
        <v>#REF!</v>
      </c>
      <c r="U13" s="14" t="e">
        <f>#REF!</f>
        <v>#REF!</v>
      </c>
      <c r="V13" s="14" t="e">
        <f>#REF!</f>
        <v>#REF!</v>
      </c>
      <c r="W13" s="14" t="e">
        <f>#REF!</f>
        <v>#REF!</v>
      </c>
      <c r="X13" s="14" t="e">
        <f>#REF!</f>
        <v>#REF!</v>
      </c>
      <c r="Y13" s="14" t="e">
        <f>#REF!</f>
        <v>#REF!</v>
      </c>
      <c r="AA13" s="33" t="e">
        <f>t_tp[[#This Row],[Dato]]</f>
        <v>#REF!</v>
      </c>
      <c r="AB13" s="34" t="str" cm="1">
        <f t="array" ref="AB13">IFERROR(_xlfn._xlws.FILTER($Q$1:$Y$1,t_tp[[#This Row],[ahh]:[lev]]=LARGE(t_tp[[#This Row],[ahh]:[lev]],1)),"")</f>
        <v/>
      </c>
      <c r="AC13" s="34"/>
      <c r="AD13" s="34"/>
      <c r="AE13" s="34"/>
      <c r="AF13" s="34"/>
      <c r="AG13" s="34"/>
      <c r="AH13" s="34"/>
      <c r="AI13" s="34"/>
      <c r="AJ13" s="35"/>
      <c r="AK13" s="4"/>
      <c r="AL13" s="33" t="e">
        <f t="shared" si="0"/>
        <v>#REF!</v>
      </c>
      <c r="AM13" s="34" t="str" cm="1">
        <f t="array" ref="AM13">IFERROR(_xlfn._xlws.FILTER($Q$1:$Y$1,t_tp[[#This Row],[ahh]:[lev]]=SMALL(t_tp[[#This Row],[ahh]:[lev]],1)),"")</f>
        <v/>
      </c>
      <c r="AN13" s="34"/>
      <c r="AO13" s="34"/>
      <c r="AP13" s="34"/>
      <c r="AQ13" s="34"/>
      <c r="AR13" s="34"/>
      <c r="AS13" s="34"/>
      <c r="AT13" s="34"/>
      <c r="AU13" s="35"/>
    </row>
    <row r="14" spans="1:47" ht="14.25" thickTop="1" thickBot="1" x14ac:dyDescent="0.25">
      <c r="A14">
        <v>13</v>
      </c>
      <c r="B14" s="5" t="e">
        <f>#REF!</f>
        <v>#REF!</v>
      </c>
      <c r="C14" t="e">
        <f>_xlfn.XLOOKUP(t_rang[[#This Row],[Dato]],#REF!,#REF!)</f>
        <v>#REF!</v>
      </c>
      <c r="D14" t="e">
        <f>_xlfn.XLOOKUP(t_rang[[#This Row],[Dato]],#REF!,#REF!)</f>
        <v>#REF!</v>
      </c>
      <c r="E14" t="e">
        <f>_xlfn.XLOOKUP(t_rang[[#This Row],[Dato]],#REF!,#REF!)</f>
        <v>#REF!</v>
      </c>
      <c r="F14" t="e">
        <f>_xlfn.XLOOKUP(t_rang[[#This Row],[Dato]],#REF!,#REF!)</f>
        <v>#REF!</v>
      </c>
      <c r="G14" t="e">
        <f>_xlfn.XLOOKUP(t_rang[[#This Row],[Dato]],#REF!,#REF!)</f>
        <v>#REF!</v>
      </c>
      <c r="H14" t="e">
        <f>_xlfn.XLOOKUP(t_rang[[#This Row],[Dato]],#REF!,#REF!)</f>
        <v>#REF!</v>
      </c>
      <c r="I14" t="e">
        <f>_xlfn.XLOOKUP(t_rang[[#This Row],[Dato]],#REF!,#REF!)</f>
        <v>#REF!</v>
      </c>
      <c r="J14" t="e">
        <f>_xlfn.XLOOKUP(t_rang[[#This Row],[Dato]],#REF!,#REF!)</f>
        <v>#REF!</v>
      </c>
      <c r="K14" s="20" t="e">
        <f>_xlfn.XLOOKUP(t_rang[[#This Row],[Dato]],#REF!,#REF!)</f>
        <v>#REF!</v>
      </c>
      <c r="L14" s="20"/>
      <c r="M14" s="20"/>
      <c r="N14" s="20"/>
      <c r="O14" s="15"/>
      <c r="P14" s="22" t="e">
        <f>#REF!</f>
        <v>#REF!</v>
      </c>
      <c r="Q14" s="14" t="e">
        <f>#REF!</f>
        <v>#REF!</v>
      </c>
      <c r="R14" s="14" t="e">
        <f>#REF!</f>
        <v>#REF!</v>
      </c>
      <c r="S14" s="14" t="e">
        <f>#REF!</f>
        <v>#REF!</v>
      </c>
      <c r="T14" s="14" t="e">
        <f>#REF!</f>
        <v>#REF!</v>
      </c>
      <c r="U14" s="14" t="e">
        <f>#REF!</f>
        <v>#REF!</v>
      </c>
      <c r="V14" s="14" t="e">
        <f>#REF!</f>
        <v>#REF!</v>
      </c>
      <c r="W14" s="14" t="e">
        <f>#REF!</f>
        <v>#REF!</v>
      </c>
      <c r="X14" s="14" t="e">
        <f>#REF!</f>
        <v>#REF!</v>
      </c>
      <c r="Y14" s="14" t="e">
        <f>#REF!</f>
        <v>#REF!</v>
      </c>
      <c r="AA14" s="30" t="e">
        <f>t_tp[[#This Row],[Dato]]</f>
        <v>#REF!</v>
      </c>
      <c r="AB14" s="31" t="str" cm="1">
        <f t="array" ref="AB14">IFERROR(_xlfn._xlws.FILTER($Q$1:$Y$1,t_tp[[#This Row],[ahh]:[lev]]=LARGE(t_tp[[#This Row],[ahh]:[lev]],1)),"")</f>
        <v/>
      </c>
      <c r="AC14" s="31"/>
      <c r="AD14" s="31"/>
      <c r="AE14" s="31"/>
      <c r="AF14" s="31"/>
      <c r="AG14" s="31"/>
      <c r="AH14" s="31"/>
      <c r="AI14" s="31"/>
      <c r="AJ14" s="32"/>
      <c r="AK14" s="4"/>
      <c r="AL14" s="30" t="e">
        <f t="shared" si="0"/>
        <v>#REF!</v>
      </c>
      <c r="AM14" s="31" t="str" cm="1">
        <f t="array" ref="AM14">IFERROR(_xlfn._xlws.FILTER($Q$1:$Y$1,t_tp[[#This Row],[ahh]:[lev]]=SMALL(t_tp[[#This Row],[ahh]:[lev]],1)),"")</f>
        <v/>
      </c>
      <c r="AN14" s="31"/>
      <c r="AO14" s="31"/>
      <c r="AP14" s="31"/>
      <c r="AQ14" s="31"/>
      <c r="AR14" s="31"/>
      <c r="AS14" s="31"/>
      <c r="AT14" s="31"/>
      <c r="AU14" s="32"/>
    </row>
    <row r="15" spans="1:47" ht="14.25" thickTop="1" thickBot="1" x14ac:dyDescent="0.25">
      <c r="A15">
        <v>14</v>
      </c>
      <c r="B15" s="5" t="e">
        <f>#REF!</f>
        <v>#REF!</v>
      </c>
      <c r="C15" t="e">
        <f>_xlfn.XLOOKUP(t_rang[[#This Row],[Dato]],#REF!,#REF!)</f>
        <v>#REF!</v>
      </c>
      <c r="D15" t="e">
        <f>_xlfn.XLOOKUP(t_rang[[#This Row],[Dato]],#REF!,#REF!)</f>
        <v>#REF!</v>
      </c>
      <c r="E15" t="e">
        <f>_xlfn.XLOOKUP(t_rang[[#This Row],[Dato]],#REF!,#REF!)</f>
        <v>#REF!</v>
      </c>
      <c r="F15" t="e">
        <f>_xlfn.XLOOKUP(t_rang[[#This Row],[Dato]],#REF!,#REF!)</f>
        <v>#REF!</v>
      </c>
      <c r="G15" t="e">
        <f>_xlfn.XLOOKUP(t_rang[[#This Row],[Dato]],#REF!,#REF!)</f>
        <v>#REF!</v>
      </c>
      <c r="H15" t="e">
        <f>_xlfn.XLOOKUP(t_rang[[#This Row],[Dato]],#REF!,#REF!)</f>
        <v>#REF!</v>
      </c>
      <c r="I15" t="e">
        <f>_xlfn.XLOOKUP(t_rang[[#This Row],[Dato]],#REF!,#REF!)</f>
        <v>#REF!</v>
      </c>
      <c r="J15" t="e">
        <f>_xlfn.XLOOKUP(t_rang[[#This Row],[Dato]],#REF!,#REF!)</f>
        <v>#REF!</v>
      </c>
      <c r="K15" s="20" t="e">
        <f>_xlfn.XLOOKUP(t_rang[[#This Row],[Dato]],#REF!,#REF!)</f>
        <v>#REF!</v>
      </c>
      <c r="L15" s="20"/>
      <c r="M15" s="20"/>
      <c r="N15" s="20"/>
      <c r="O15" s="15"/>
      <c r="P15" s="22" t="e">
        <f>#REF!</f>
        <v>#REF!</v>
      </c>
      <c r="Q15" s="14" t="e">
        <f>#REF!</f>
        <v>#REF!</v>
      </c>
      <c r="R15" s="14" t="e">
        <f>#REF!</f>
        <v>#REF!</v>
      </c>
      <c r="S15" s="14" t="e">
        <f>#REF!</f>
        <v>#REF!</v>
      </c>
      <c r="T15" s="14" t="e">
        <f>#REF!</f>
        <v>#REF!</v>
      </c>
      <c r="U15" s="14" t="e">
        <f>#REF!</f>
        <v>#REF!</v>
      </c>
      <c r="V15" s="14" t="e">
        <f>#REF!</f>
        <v>#REF!</v>
      </c>
      <c r="W15" s="14" t="e">
        <f>#REF!</f>
        <v>#REF!</v>
      </c>
      <c r="X15" s="14" t="e">
        <f>#REF!</f>
        <v>#REF!</v>
      </c>
      <c r="Y15" s="14" t="e">
        <f>#REF!</f>
        <v>#REF!</v>
      </c>
      <c r="AA15" s="33" t="e">
        <f>t_tp[[#This Row],[Dato]]</f>
        <v>#REF!</v>
      </c>
      <c r="AB15" s="34" t="str" cm="1">
        <f t="array" ref="AB15">IFERROR(_xlfn._xlws.FILTER($Q$1:$Y$1,t_tp[[#This Row],[ahh]:[lev]]=LARGE(t_tp[[#This Row],[ahh]:[lev]],1)),"")</f>
        <v/>
      </c>
      <c r="AC15" s="34"/>
      <c r="AD15" s="34"/>
      <c r="AE15" s="34"/>
      <c r="AF15" s="34"/>
      <c r="AG15" s="34"/>
      <c r="AH15" s="34"/>
      <c r="AI15" s="34"/>
      <c r="AJ15" s="35"/>
      <c r="AK15" s="4"/>
      <c r="AL15" s="33" t="e">
        <f t="shared" si="0"/>
        <v>#REF!</v>
      </c>
      <c r="AM15" s="34" t="str" cm="1">
        <f t="array" ref="AM15">IFERROR(_xlfn._xlws.FILTER($Q$1:$Y$1,t_tp[[#This Row],[ahh]:[lev]]=SMALL(t_tp[[#This Row],[ahh]:[lev]],1)),"")</f>
        <v/>
      </c>
      <c r="AN15" s="34"/>
      <c r="AO15" s="34"/>
      <c r="AP15" s="34"/>
      <c r="AQ15" s="34"/>
      <c r="AR15" s="34"/>
      <c r="AS15" s="34"/>
      <c r="AT15" s="34"/>
      <c r="AU15" s="35"/>
    </row>
    <row r="16" spans="1:47" ht="14.25" thickTop="1" thickBot="1" x14ac:dyDescent="0.25">
      <c r="A16">
        <v>15</v>
      </c>
      <c r="B16" s="5" t="e">
        <f>#REF!</f>
        <v>#REF!</v>
      </c>
      <c r="C16" t="e">
        <f>_xlfn.XLOOKUP(t_rang[[#This Row],[Dato]],#REF!,#REF!)</f>
        <v>#REF!</v>
      </c>
      <c r="D16" t="e">
        <f>_xlfn.XLOOKUP(t_rang[[#This Row],[Dato]],#REF!,#REF!)</f>
        <v>#REF!</v>
      </c>
      <c r="E16" t="e">
        <f>_xlfn.XLOOKUP(t_rang[[#This Row],[Dato]],#REF!,#REF!)</f>
        <v>#REF!</v>
      </c>
      <c r="F16" t="e">
        <f>_xlfn.XLOOKUP(t_rang[[#This Row],[Dato]],#REF!,#REF!)</f>
        <v>#REF!</v>
      </c>
      <c r="G16" t="e">
        <f>_xlfn.XLOOKUP(t_rang[[#This Row],[Dato]],#REF!,#REF!)</f>
        <v>#REF!</v>
      </c>
      <c r="H16" t="e">
        <f>_xlfn.XLOOKUP(t_rang[[#This Row],[Dato]],#REF!,#REF!)</f>
        <v>#REF!</v>
      </c>
      <c r="I16" t="e">
        <f>_xlfn.XLOOKUP(t_rang[[#This Row],[Dato]],#REF!,#REF!)</f>
        <v>#REF!</v>
      </c>
      <c r="J16" t="e">
        <f>_xlfn.XLOOKUP(t_rang[[#This Row],[Dato]],#REF!,#REF!)</f>
        <v>#REF!</v>
      </c>
      <c r="K16" s="20" t="e">
        <f>_xlfn.XLOOKUP(t_rang[[#This Row],[Dato]],#REF!,#REF!)</f>
        <v>#REF!</v>
      </c>
      <c r="L16" s="20"/>
      <c r="M16" s="20"/>
      <c r="N16" s="20"/>
      <c r="O16" s="15"/>
      <c r="P16" s="22" t="e">
        <f>#REF!</f>
        <v>#REF!</v>
      </c>
      <c r="Q16" s="14" t="e">
        <f>#REF!</f>
        <v>#REF!</v>
      </c>
      <c r="R16" s="14" t="e">
        <f>#REF!</f>
        <v>#REF!</v>
      </c>
      <c r="S16" s="14" t="e">
        <f>#REF!</f>
        <v>#REF!</v>
      </c>
      <c r="T16" s="14" t="e">
        <f>#REF!</f>
        <v>#REF!</v>
      </c>
      <c r="U16" s="14" t="e">
        <f>#REF!</f>
        <v>#REF!</v>
      </c>
      <c r="V16" s="14" t="e">
        <f>#REF!</f>
        <v>#REF!</v>
      </c>
      <c r="W16" s="14" t="e">
        <f>#REF!</f>
        <v>#REF!</v>
      </c>
      <c r="X16" s="14" t="e">
        <f>#REF!</f>
        <v>#REF!</v>
      </c>
      <c r="Y16" s="14" t="e">
        <f>#REF!</f>
        <v>#REF!</v>
      </c>
      <c r="AA16" s="30" t="e">
        <f>t_tp[[#This Row],[Dato]]</f>
        <v>#REF!</v>
      </c>
      <c r="AB16" s="31" t="str" cm="1">
        <f t="array" ref="AB16">IFERROR(_xlfn._xlws.FILTER($Q$1:$Y$1,t_tp[[#This Row],[ahh]:[lev]]=LARGE(t_tp[[#This Row],[ahh]:[lev]],1)),"")</f>
        <v/>
      </c>
      <c r="AC16" s="31"/>
      <c r="AD16" s="31"/>
      <c r="AE16" s="31"/>
      <c r="AF16" s="31"/>
      <c r="AG16" s="31"/>
      <c r="AH16" s="31"/>
      <c r="AI16" s="31"/>
      <c r="AJ16" s="32"/>
      <c r="AK16" s="4"/>
      <c r="AL16" s="30" t="e">
        <f t="shared" si="0"/>
        <v>#REF!</v>
      </c>
      <c r="AM16" s="31" t="str" cm="1">
        <f t="array" ref="AM16">IFERROR(_xlfn._xlws.FILTER($Q$1:$Y$1,t_tp[[#This Row],[ahh]:[lev]]=SMALL(t_tp[[#This Row],[ahh]:[lev]],1)),"")</f>
        <v/>
      </c>
      <c r="AN16" s="31"/>
      <c r="AO16" s="31"/>
      <c r="AP16" s="31"/>
      <c r="AQ16" s="31"/>
      <c r="AR16" s="31"/>
      <c r="AS16" s="31"/>
      <c r="AT16" s="31"/>
      <c r="AU16" s="32"/>
    </row>
    <row r="17" spans="1:47" ht="14.25" thickTop="1" thickBot="1" x14ac:dyDescent="0.25">
      <c r="A17">
        <v>16</v>
      </c>
      <c r="B17" s="5" t="e">
        <f>#REF!</f>
        <v>#REF!</v>
      </c>
      <c r="C17" t="e">
        <f>_xlfn.XLOOKUP(t_rang[[#This Row],[Dato]],#REF!,#REF!)</f>
        <v>#REF!</v>
      </c>
      <c r="D17" t="e">
        <f>_xlfn.XLOOKUP(t_rang[[#This Row],[Dato]],#REF!,#REF!)</f>
        <v>#REF!</v>
      </c>
      <c r="E17" t="e">
        <f>_xlfn.XLOOKUP(t_rang[[#This Row],[Dato]],#REF!,#REF!)</f>
        <v>#REF!</v>
      </c>
      <c r="F17" t="e">
        <f>_xlfn.XLOOKUP(t_rang[[#This Row],[Dato]],#REF!,#REF!)</f>
        <v>#REF!</v>
      </c>
      <c r="G17" t="e">
        <f>_xlfn.XLOOKUP(t_rang[[#This Row],[Dato]],#REF!,#REF!)</f>
        <v>#REF!</v>
      </c>
      <c r="H17" t="e">
        <f>_xlfn.XLOOKUP(t_rang[[#This Row],[Dato]],#REF!,#REF!)</f>
        <v>#REF!</v>
      </c>
      <c r="I17" t="e">
        <f>_xlfn.XLOOKUP(t_rang[[#This Row],[Dato]],#REF!,#REF!)</f>
        <v>#REF!</v>
      </c>
      <c r="J17" t="e">
        <f>_xlfn.XLOOKUP(t_rang[[#This Row],[Dato]],#REF!,#REF!)</f>
        <v>#REF!</v>
      </c>
      <c r="K17" s="20" t="e">
        <f>_xlfn.XLOOKUP(t_rang[[#This Row],[Dato]],#REF!,#REF!)</f>
        <v>#REF!</v>
      </c>
      <c r="L17" s="20"/>
      <c r="M17" s="20"/>
      <c r="N17" s="20"/>
      <c r="O17" s="15"/>
      <c r="P17" s="22" t="e">
        <f>#REF!</f>
        <v>#REF!</v>
      </c>
      <c r="Q17" s="14" t="e">
        <f>#REF!</f>
        <v>#REF!</v>
      </c>
      <c r="R17" s="14" t="e">
        <f>#REF!</f>
        <v>#REF!</v>
      </c>
      <c r="S17" s="14" t="e">
        <f>#REF!</f>
        <v>#REF!</v>
      </c>
      <c r="T17" s="14" t="e">
        <f>#REF!</f>
        <v>#REF!</v>
      </c>
      <c r="U17" s="14" t="e">
        <f>#REF!</f>
        <v>#REF!</v>
      </c>
      <c r="V17" s="14" t="e">
        <f>#REF!</f>
        <v>#REF!</v>
      </c>
      <c r="W17" s="14" t="e">
        <f>#REF!</f>
        <v>#REF!</v>
      </c>
      <c r="X17" s="14" t="e">
        <f>#REF!</f>
        <v>#REF!</v>
      </c>
      <c r="Y17" s="14" t="e">
        <f>#REF!</f>
        <v>#REF!</v>
      </c>
      <c r="AA17" s="33" t="e">
        <f>t_tp[[#This Row],[Dato]]</f>
        <v>#REF!</v>
      </c>
      <c r="AB17" s="34" t="str" cm="1">
        <f t="array" ref="AB17">IFERROR(_xlfn._xlws.FILTER($Q$1:$Y$1,t_tp[[#This Row],[ahh]:[lev]]=LARGE(t_tp[[#This Row],[ahh]:[lev]],1)),"")</f>
        <v/>
      </c>
      <c r="AC17" s="34"/>
      <c r="AD17" s="34"/>
      <c r="AE17" s="34"/>
      <c r="AF17" s="34"/>
      <c r="AG17" s="34"/>
      <c r="AH17" s="34"/>
      <c r="AI17" s="34"/>
      <c r="AJ17" s="35"/>
      <c r="AK17" s="4"/>
      <c r="AL17" s="33" t="e">
        <f t="shared" si="0"/>
        <v>#REF!</v>
      </c>
      <c r="AM17" s="34" t="str" cm="1">
        <f t="array" ref="AM17">IFERROR(_xlfn._xlws.FILTER($Q$1:$Y$1,t_tp[[#This Row],[ahh]:[lev]]=SMALL(t_tp[[#This Row],[ahh]:[lev]],1)),"")</f>
        <v/>
      </c>
      <c r="AN17" s="34"/>
      <c r="AO17" s="34"/>
      <c r="AP17" s="34"/>
      <c r="AQ17" s="34"/>
      <c r="AR17" s="34"/>
      <c r="AS17" s="34"/>
      <c r="AT17" s="34"/>
      <c r="AU17" s="35"/>
    </row>
    <row r="18" spans="1:47" ht="14.25" thickTop="1" thickBot="1" x14ac:dyDescent="0.25">
      <c r="A18">
        <v>17</v>
      </c>
      <c r="B18" s="5" t="e">
        <f>#REF!</f>
        <v>#REF!</v>
      </c>
      <c r="C18" t="e">
        <f>_xlfn.XLOOKUP(t_rang[[#This Row],[Dato]],#REF!,#REF!)</f>
        <v>#REF!</v>
      </c>
      <c r="D18" t="e">
        <f>_xlfn.XLOOKUP(t_rang[[#This Row],[Dato]],#REF!,#REF!)</f>
        <v>#REF!</v>
      </c>
      <c r="E18" t="e">
        <f>_xlfn.XLOOKUP(t_rang[[#This Row],[Dato]],#REF!,#REF!)</f>
        <v>#REF!</v>
      </c>
      <c r="F18" t="e">
        <f>_xlfn.XLOOKUP(t_rang[[#This Row],[Dato]],#REF!,#REF!)</f>
        <v>#REF!</v>
      </c>
      <c r="G18" t="e">
        <f>_xlfn.XLOOKUP(t_rang[[#This Row],[Dato]],#REF!,#REF!)</f>
        <v>#REF!</v>
      </c>
      <c r="H18" t="e">
        <f>_xlfn.XLOOKUP(t_rang[[#This Row],[Dato]],#REF!,#REF!)</f>
        <v>#REF!</v>
      </c>
      <c r="I18" t="e">
        <f>_xlfn.XLOOKUP(t_rang[[#This Row],[Dato]],#REF!,#REF!)</f>
        <v>#REF!</v>
      </c>
      <c r="J18" t="e">
        <f>_xlfn.XLOOKUP(t_rang[[#This Row],[Dato]],#REF!,#REF!)</f>
        <v>#REF!</v>
      </c>
      <c r="K18" s="20" t="e">
        <f>_xlfn.XLOOKUP(t_rang[[#This Row],[Dato]],#REF!,#REF!)</f>
        <v>#REF!</v>
      </c>
      <c r="L18" s="20"/>
      <c r="M18" s="20"/>
      <c r="N18" s="20"/>
      <c r="O18" s="15"/>
      <c r="P18" s="22" t="e">
        <f>#REF!</f>
        <v>#REF!</v>
      </c>
      <c r="Q18" s="14" t="e">
        <f>#REF!</f>
        <v>#REF!</v>
      </c>
      <c r="R18" s="14" t="e">
        <f>#REF!</f>
        <v>#REF!</v>
      </c>
      <c r="S18" s="14" t="e">
        <f>#REF!</f>
        <v>#REF!</v>
      </c>
      <c r="T18" s="14" t="e">
        <f>#REF!</f>
        <v>#REF!</v>
      </c>
      <c r="U18" s="14" t="e">
        <f>#REF!</f>
        <v>#REF!</v>
      </c>
      <c r="V18" s="14" t="e">
        <f>#REF!</f>
        <v>#REF!</v>
      </c>
      <c r="W18" s="14" t="e">
        <f>#REF!</f>
        <v>#REF!</v>
      </c>
      <c r="X18" s="14" t="e">
        <f>#REF!</f>
        <v>#REF!</v>
      </c>
      <c r="Y18" s="14" t="e">
        <f>#REF!</f>
        <v>#REF!</v>
      </c>
      <c r="AA18" s="30" t="e">
        <f>t_tp[[#This Row],[Dato]]</f>
        <v>#REF!</v>
      </c>
      <c r="AB18" s="31" t="str" cm="1">
        <f t="array" ref="AB18">IFERROR(_xlfn._xlws.FILTER($Q$1:$Y$1,t_tp[[#This Row],[ahh]:[lev]]=LARGE(t_tp[[#This Row],[ahh]:[lev]],1)),"")</f>
        <v/>
      </c>
      <c r="AC18" s="31"/>
      <c r="AD18" s="31"/>
      <c r="AE18" s="31"/>
      <c r="AF18" s="31"/>
      <c r="AG18" s="31"/>
      <c r="AH18" s="31"/>
      <c r="AI18" s="31"/>
      <c r="AJ18" s="32"/>
      <c r="AK18" s="4"/>
      <c r="AL18" s="30" t="e">
        <f t="shared" si="0"/>
        <v>#REF!</v>
      </c>
      <c r="AM18" s="31" t="str" cm="1">
        <f t="array" ref="AM18">IFERROR(_xlfn._xlws.FILTER($Q$1:$Y$1,t_tp[[#This Row],[ahh]:[lev]]=SMALL(t_tp[[#This Row],[ahh]:[lev]],1)),"")</f>
        <v/>
      </c>
      <c r="AN18" s="31"/>
      <c r="AO18" s="31"/>
      <c r="AP18" s="31"/>
      <c r="AQ18" s="31"/>
      <c r="AR18" s="31"/>
      <c r="AS18" s="31"/>
      <c r="AT18" s="31"/>
      <c r="AU18" s="32"/>
    </row>
    <row r="19" spans="1:47" ht="14.25" thickTop="1" thickBot="1" x14ac:dyDescent="0.25">
      <c r="A19">
        <v>18</v>
      </c>
      <c r="B19" s="5" t="e">
        <f>#REF!</f>
        <v>#REF!</v>
      </c>
      <c r="C19" t="e">
        <f>_xlfn.XLOOKUP(t_rang[[#This Row],[Dato]],#REF!,#REF!)</f>
        <v>#REF!</v>
      </c>
      <c r="D19" t="e">
        <f>_xlfn.XLOOKUP(t_rang[[#This Row],[Dato]],#REF!,#REF!)</f>
        <v>#REF!</v>
      </c>
      <c r="E19" t="e">
        <f>_xlfn.XLOOKUP(t_rang[[#This Row],[Dato]],#REF!,#REF!)</f>
        <v>#REF!</v>
      </c>
      <c r="F19" t="e">
        <f>_xlfn.XLOOKUP(t_rang[[#This Row],[Dato]],#REF!,#REF!)</f>
        <v>#REF!</v>
      </c>
      <c r="G19" t="e">
        <f>_xlfn.XLOOKUP(t_rang[[#This Row],[Dato]],#REF!,#REF!)</f>
        <v>#REF!</v>
      </c>
      <c r="H19" t="e">
        <f>_xlfn.XLOOKUP(t_rang[[#This Row],[Dato]],#REF!,#REF!)</f>
        <v>#REF!</v>
      </c>
      <c r="I19" t="e">
        <f>_xlfn.XLOOKUP(t_rang[[#This Row],[Dato]],#REF!,#REF!)</f>
        <v>#REF!</v>
      </c>
      <c r="J19" t="e">
        <f>_xlfn.XLOOKUP(t_rang[[#This Row],[Dato]],#REF!,#REF!)</f>
        <v>#REF!</v>
      </c>
      <c r="K19" s="20" t="e">
        <f>_xlfn.XLOOKUP(t_rang[[#This Row],[Dato]],#REF!,#REF!)</f>
        <v>#REF!</v>
      </c>
      <c r="L19" s="20"/>
      <c r="M19" s="20"/>
      <c r="N19" s="20"/>
      <c r="O19" s="15"/>
      <c r="P19" s="22" t="e">
        <f>#REF!</f>
        <v>#REF!</v>
      </c>
      <c r="Q19" s="14" t="e">
        <f>#REF!</f>
        <v>#REF!</v>
      </c>
      <c r="R19" s="14" t="e">
        <f>#REF!</f>
        <v>#REF!</v>
      </c>
      <c r="S19" s="14" t="e">
        <f>#REF!</f>
        <v>#REF!</v>
      </c>
      <c r="T19" s="14" t="e">
        <f>#REF!</f>
        <v>#REF!</v>
      </c>
      <c r="U19" s="14" t="e">
        <f>#REF!</f>
        <v>#REF!</v>
      </c>
      <c r="V19" s="14" t="e">
        <f>#REF!</f>
        <v>#REF!</v>
      </c>
      <c r="W19" s="14" t="e">
        <f>#REF!</f>
        <v>#REF!</v>
      </c>
      <c r="X19" s="14" t="e">
        <f>#REF!</f>
        <v>#REF!</v>
      </c>
      <c r="Y19" s="14" t="e">
        <f>#REF!</f>
        <v>#REF!</v>
      </c>
      <c r="AA19" s="33" t="e">
        <f>t_tp[[#This Row],[Dato]]</f>
        <v>#REF!</v>
      </c>
      <c r="AB19" s="34" t="str" cm="1">
        <f t="array" ref="AB19">IFERROR(_xlfn._xlws.FILTER($Q$1:$Y$1,t_tp[[#This Row],[ahh]:[lev]]=LARGE(t_tp[[#This Row],[ahh]:[lev]],1)),"")</f>
        <v/>
      </c>
      <c r="AC19" s="34"/>
      <c r="AD19" s="34"/>
      <c r="AE19" s="34"/>
      <c r="AF19" s="34"/>
      <c r="AG19" s="34"/>
      <c r="AH19" s="34"/>
      <c r="AI19" s="34"/>
      <c r="AJ19" s="35"/>
      <c r="AK19" s="4"/>
      <c r="AL19" s="33" t="e">
        <f t="shared" si="0"/>
        <v>#REF!</v>
      </c>
      <c r="AM19" s="34" t="str" cm="1">
        <f t="array" ref="AM19">IFERROR(_xlfn._xlws.FILTER($Q$1:$Y$1,t_tp[[#This Row],[ahh]:[lev]]=SMALL(t_tp[[#This Row],[ahh]:[lev]],1)),"")</f>
        <v/>
      </c>
      <c r="AN19" s="34"/>
      <c r="AO19" s="34"/>
      <c r="AP19" s="34"/>
      <c r="AQ19" s="34"/>
      <c r="AR19" s="34"/>
      <c r="AS19" s="34"/>
      <c r="AT19" s="34"/>
      <c r="AU19" s="35"/>
    </row>
    <row r="20" spans="1:47" ht="14.25" thickTop="1" thickBot="1" x14ac:dyDescent="0.25">
      <c r="A20">
        <v>19</v>
      </c>
      <c r="B20" s="5" t="e">
        <f>#REF!</f>
        <v>#REF!</v>
      </c>
      <c r="C20" t="e">
        <f>_xlfn.XLOOKUP(t_rang[[#This Row],[Dato]],#REF!,#REF!)</f>
        <v>#REF!</v>
      </c>
      <c r="D20" t="e">
        <f>_xlfn.XLOOKUP(t_rang[[#This Row],[Dato]],#REF!,#REF!)</f>
        <v>#REF!</v>
      </c>
      <c r="E20" t="e">
        <f>_xlfn.XLOOKUP(t_rang[[#This Row],[Dato]],#REF!,#REF!)</f>
        <v>#REF!</v>
      </c>
      <c r="F20" t="e">
        <f>_xlfn.XLOOKUP(t_rang[[#This Row],[Dato]],#REF!,#REF!)</f>
        <v>#REF!</v>
      </c>
      <c r="G20" t="e">
        <f>_xlfn.XLOOKUP(t_rang[[#This Row],[Dato]],#REF!,#REF!)</f>
        <v>#REF!</v>
      </c>
      <c r="H20" t="e">
        <f>_xlfn.XLOOKUP(t_rang[[#This Row],[Dato]],#REF!,#REF!)</f>
        <v>#REF!</v>
      </c>
      <c r="I20" t="e">
        <f>_xlfn.XLOOKUP(t_rang[[#This Row],[Dato]],#REF!,#REF!)</f>
        <v>#REF!</v>
      </c>
      <c r="J20" t="e">
        <f>_xlfn.XLOOKUP(t_rang[[#This Row],[Dato]],#REF!,#REF!)</f>
        <v>#REF!</v>
      </c>
      <c r="K20" s="20" t="e">
        <f>_xlfn.XLOOKUP(t_rang[[#This Row],[Dato]],#REF!,#REF!)</f>
        <v>#REF!</v>
      </c>
      <c r="L20" s="20"/>
      <c r="M20" s="20"/>
      <c r="N20" s="20"/>
      <c r="O20" s="15"/>
      <c r="P20" s="22" t="e">
        <f>#REF!</f>
        <v>#REF!</v>
      </c>
      <c r="Q20" s="14" t="e">
        <f>#REF!</f>
        <v>#REF!</v>
      </c>
      <c r="R20" s="14" t="e">
        <f>#REF!</f>
        <v>#REF!</v>
      </c>
      <c r="S20" s="14" t="e">
        <f>#REF!</f>
        <v>#REF!</v>
      </c>
      <c r="T20" s="14" t="e">
        <f>#REF!</f>
        <v>#REF!</v>
      </c>
      <c r="U20" s="14" t="e">
        <f>#REF!</f>
        <v>#REF!</v>
      </c>
      <c r="V20" s="14" t="e">
        <f>#REF!</f>
        <v>#REF!</v>
      </c>
      <c r="W20" s="14" t="e">
        <f>#REF!</f>
        <v>#REF!</v>
      </c>
      <c r="X20" s="14" t="e">
        <f>#REF!</f>
        <v>#REF!</v>
      </c>
      <c r="Y20" s="14" t="e">
        <f>#REF!</f>
        <v>#REF!</v>
      </c>
      <c r="AA20" s="30" t="e">
        <f>t_tp[[#This Row],[Dato]]</f>
        <v>#REF!</v>
      </c>
      <c r="AB20" s="31" t="str" cm="1">
        <f t="array" ref="AB20">IFERROR(_xlfn._xlws.FILTER($Q$1:$Y$1,t_tp[[#This Row],[ahh]:[lev]]=LARGE(t_tp[[#This Row],[ahh]:[lev]],1)),"")</f>
        <v/>
      </c>
      <c r="AC20" s="31"/>
      <c r="AD20" s="31"/>
      <c r="AE20" s="31"/>
      <c r="AF20" s="31"/>
      <c r="AG20" s="31"/>
      <c r="AH20" s="31"/>
      <c r="AI20" s="31"/>
      <c r="AJ20" s="32"/>
      <c r="AK20" s="4"/>
      <c r="AL20" s="30" t="e">
        <f t="shared" si="0"/>
        <v>#REF!</v>
      </c>
      <c r="AM20" s="31" t="str" cm="1">
        <f t="array" ref="AM20">IFERROR(_xlfn._xlws.FILTER($Q$1:$Y$1,t_tp[[#This Row],[ahh]:[lev]]=SMALL(t_tp[[#This Row],[ahh]:[lev]],1)),"")</f>
        <v/>
      </c>
      <c r="AN20" s="31"/>
      <c r="AO20" s="31"/>
      <c r="AP20" s="31"/>
      <c r="AQ20" s="31"/>
      <c r="AR20" s="31"/>
      <c r="AS20" s="31"/>
      <c r="AT20" s="31"/>
      <c r="AU20" s="32"/>
    </row>
    <row r="21" spans="1:47" ht="14.25" thickTop="1" thickBot="1" x14ac:dyDescent="0.25">
      <c r="A21">
        <v>20</v>
      </c>
      <c r="B21" s="5" t="e">
        <f>#REF!</f>
        <v>#REF!</v>
      </c>
      <c r="C21" t="e">
        <f>_xlfn.XLOOKUP(t_rang[[#This Row],[Dato]],#REF!,#REF!)</f>
        <v>#REF!</v>
      </c>
      <c r="D21" t="e">
        <f>_xlfn.XLOOKUP(t_rang[[#This Row],[Dato]],#REF!,#REF!)</f>
        <v>#REF!</v>
      </c>
      <c r="E21" t="e">
        <f>_xlfn.XLOOKUP(t_rang[[#This Row],[Dato]],#REF!,#REF!)</f>
        <v>#REF!</v>
      </c>
      <c r="F21" t="e">
        <f>_xlfn.XLOOKUP(t_rang[[#This Row],[Dato]],#REF!,#REF!)</f>
        <v>#REF!</v>
      </c>
      <c r="G21" t="e">
        <f>_xlfn.XLOOKUP(t_rang[[#This Row],[Dato]],#REF!,#REF!)</f>
        <v>#REF!</v>
      </c>
      <c r="H21" t="e">
        <f>_xlfn.XLOOKUP(t_rang[[#This Row],[Dato]],#REF!,#REF!)</f>
        <v>#REF!</v>
      </c>
      <c r="I21" t="e">
        <f>_xlfn.XLOOKUP(t_rang[[#This Row],[Dato]],#REF!,#REF!)</f>
        <v>#REF!</v>
      </c>
      <c r="J21" t="e">
        <f>_xlfn.XLOOKUP(t_rang[[#This Row],[Dato]],#REF!,#REF!)</f>
        <v>#REF!</v>
      </c>
      <c r="K21" s="20" t="e">
        <f>_xlfn.XLOOKUP(t_rang[[#This Row],[Dato]],#REF!,#REF!)</f>
        <v>#REF!</v>
      </c>
      <c r="L21" s="20"/>
      <c r="M21" s="20"/>
      <c r="N21" s="20"/>
      <c r="O21" s="15"/>
      <c r="P21" s="22" t="e">
        <f>#REF!</f>
        <v>#REF!</v>
      </c>
      <c r="Q21" s="14" t="e">
        <f>#REF!</f>
        <v>#REF!</v>
      </c>
      <c r="R21" s="14" t="e">
        <f>#REF!</f>
        <v>#REF!</v>
      </c>
      <c r="S21" s="14" t="e">
        <f>#REF!</f>
        <v>#REF!</v>
      </c>
      <c r="T21" s="14" t="e">
        <f>#REF!</f>
        <v>#REF!</v>
      </c>
      <c r="U21" s="14" t="e">
        <f>#REF!</f>
        <v>#REF!</v>
      </c>
      <c r="V21" s="14" t="e">
        <f>#REF!</f>
        <v>#REF!</v>
      </c>
      <c r="W21" s="14" t="e">
        <f>#REF!</f>
        <v>#REF!</v>
      </c>
      <c r="X21" s="14" t="e">
        <f>#REF!</f>
        <v>#REF!</v>
      </c>
      <c r="Y21" s="14" t="e">
        <f>#REF!</f>
        <v>#REF!</v>
      </c>
      <c r="AA21" s="33" t="e">
        <f>t_tp[[#This Row],[Dato]]</f>
        <v>#REF!</v>
      </c>
      <c r="AB21" s="34" t="str" cm="1">
        <f t="array" ref="AB21">IFERROR(_xlfn._xlws.FILTER($Q$1:$Y$1,t_tp[[#This Row],[ahh]:[lev]]=LARGE(t_tp[[#This Row],[ahh]:[lev]],1)),"")</f>
        <v/>
      </c>
      <c r="AC21" s="34"/>
      <c r="AD21" s="34"/>
      <c r="AE21" s="34"/>
      <c r="AF21" s="34"/>
      <c r="AG21" s="34"/>
      <c r="AH21" s="34"/>
      <c r="AI21" s="34"/>
      <c r="AJ21" s="35"/>
      <c r="AK21" s="4"/>
      <c r="AL21" s="33" t="e">
        <f t="shared" si="0"/>
        <v>#REF!</v>
      </c>
      <c r="AM21" s="34" t="str" cm="1">
        <f t="array" ref="AM21">IFERROR(_xlfn._xlws.FILTER($Q$1:$Y$1,t_tp[[#This Row],[ahh]:[lev]]=SMALL(t_tp[[#This Row],[ahh]:[lev]],1)),"")</f>
        <v/>
      </c>
      <c r="AN21" s="34"/>
      <c r="AO21" s="34"/>
      <c r="AP21" s="34"/>
      <c r="AQ21" s="34"/>
      <c r="AR21" s="34"/>
      <c r="AS21" s="34"/>
      <c r="AT21" s="34"/>
      <c r="AU21" s="35"/>
    </row>
    <row r="22" spans="1:47" ht="14.25" thickTop="1" thickBot="1" x14ac:dyDescent="0.25">
      <c r="A22">
        <v>21</v>
      </c>
      <c r="B22" s="5" t="e">
        <f>#REF!</f>
        <v>#REF!</v>
      </c>
      <c r="C22" t="e">
        <f>_xlfn.XLOOKUP(t_rang[[#This Row],[Dato]],#REF!,#REF!)</f>
        <v>#REF!</v>
      </c>
      <c r="D22" t="e">
        <f>_xlfn.XLOOKUP(t_rang[[#This Row],[Dato]],#REF!,#REF!)</f>
        <v>#REF!</v>
      </c>
      <c r="E22" t="e">
        <f>_xlfn.XLOOKUP(t_rang[[#This Row],[Dato]],#REF!,#REF!)</f>
        <v>#REF!</v>
      </c>
      <c r="F22" t="e">
        <f>_xlfn.XLOOKUP(t_rang[[#This Row],[Dato]],#REF!,#REF!)</f>
        <v>#REF!</v>
      </c>
      <c r="G22" t="e">
        <f>_xlfn.XLOOKUP(t_rang[[#This Row],[Dato]],#REF!,#REF!)</f>
        <v>#REF!</v>
      </c>
      <c r="H22" t="e">
        <f>_xlfn.XLOOKUP(t_rang[[#This Row],[Dato]],#REF!,#REF!)</f>
        <v>#REF!</v>
      </c>
      <c r="I22" t="e">
        <f>_xlfn.XLOOKUP(t_rang[[#This Row],[Dato]],#REF!,#REF!)</f>
        <v>#REF!</v>
      </c>
      <c r="J22" t="e">
        <f>_xlfn.XLOOKUP(t_rang[[#This Row],[Dato]],#REF!,#REF!)</f>
        <v>#REF!</v>
      </c>
      <c r="K22" s="20" t="e">
        <f>_xlfn.XLOOKUP(t_rang[[#This Row],[Dato]],#REF!,#REF!)</f>
        <v>#REF!</v>
      </c>
      <c r="L22" s="20"/>
      <c r="M22" s="20"/>
      <c r="N22" s="20"/>
      <c r="O22" s="15"/>
      <c r="P22" s="22" t="e">
        <f>#REF!</f>
        <v>#REF!</v>
      </c>
      <c r="Q22" s="14" t="e">
        <f>#REF!</f>
        <v>#REF!</v>
      </c>
      <c r="R22" s="14" t="e">
        <f>#REF!</f>
        <v>#REF!</v>
      </c>
      <c r="S22" s="14" t="e">
        <f>#REF!</f>
        <v>#REF!</v>
      </c>
      <c r="T22" s="14" t="e">
        <f>#REF!</f>
        <v>#REF!</v>
      </c>
      <c r="U22" s="14" t="e">
        <f>#REF!</f>
        <v>#REF!</v>
      </c>
      <c r="V22" s="14" t="e">
        <f>#REF!</f>
        <v>#REF!</v>
      </c>
      <c r="W22" s="14" t="e">
        <f>#REF!</f>
        <v>#REF!</v>
      </c>
      <c r="X22" s="14" t="e">
        <f>#REF!</f>
        <v>#REF!</v>
      </c>
      <c r="Y22" s="14" t="e">
        <f>#REF!</f>
        <v>#REF!</v>
      </c>
      <c r="AA22" s="30" t="e">
        <f>t_tp[[#This Row],[Dato]]</f>
        <v>#REF!</v>
      </c>
      <c r="AB22" s="31" t="str" cm="1">
        <f t="array" ref="AB22">IFERROR(_xlfn._xlws.FILTER($Q$1:$Y$1,t_tp[[#This Row],[ahh]:[lev]]=LARGE(t_tp[[#This Row],[ahh]:[lev]],1)),"")</f>
        <v/>
      </c>
      <c r="AC22" s="31"/>
      <c r="AD22" s="31"/>
      <c r="AE22" s="31"/>
      <c r="AF22" s="31"/>
      <c r="AG22" s="31"/>
      <c r="AH22" s="31"/>
      <c r="AI22" s="31"/>
      <c r="AJ22" s="32"/>
      <c r="AK22" s="4"/>
      <c r="AL22" s="30" t="e">
        <f t="shared" si="0"/>
        <v>#REF!</v>
      </c>
      <c r="AM22" s="31" t="str" cm="1">
        <f t="array" ref="AM22">IFERROR(_xlfn._xlws.FILTER($Q$1:$Y$1,t_tp[[#This Row],[ahh]:[lev]]=SMALL(t_tp[[#This Row],[ahh]:[lev]],1)),"")</f>
        <v/>
      </c>
      <c r="AN22" s="31"/>
      <c r="AO22" s="31"/>
      <c r="AP22" s="31"/>
      <c r="AQ22" s="31"/>
      <c r="AR22" s="31"/>
      <c r="AS22" s="31"/>
      <c r="AT22" s="31"/>
      <c r="AU22" s="32"/>
    </row>
    <row r="23" spans="1:47" ht="14.25" thickTop="1" thickBot="1" x14ac:dyDescent="0.25">
      <c r="A23">
        <v>22</v>
      </c>
      <c r="B23" s="5" t="e">
        <f>#REF!</f>
        <v>#REF!</v>
      </c>
      <c r="C23" t="e">
        <f>_xlfn.XLOOKUP(t_rang[[#This Row],[Dato]],#REF!,#REF!)</f>
        <v>#REF!</v>
      </c>
      <c r="D23" t="e">
        <f>_xlfn.XLOOKUP(t_rang[[#This Row],[Dato]],#REF!,#REF!)</f>
        <v>#REF!</v>
      </c>
      <c r="E23" t="e">
        <f>_xlfn.XLOOKUP(t_rang[[#This Row],[Dato]],#REF!,#REF!)</f>
        <v>#REF!</v>
      </c>
      <c r="F23" t="e">
        <f>_xlfn.XLOOKUP(t_rang[[#This Row],[Dato]],#REF!,#REF!)</f>
        <v>#REF!</v>
      </c>
      <c r="G23" t="e">
        <f>_xlfn.XLOOKUP(t_rang[[#This Row],[Dato]],#REF!,#REF!)</f>
        <v>#REF!</v>
      </c>
      <c r="H23" t="e">
        <f>_xlfn.XLOOKUP(t_rang[[#This Row],[Dato]],#REF!,#REF!)</f>
        <v>#REF!</v>
      </c>
      <c r="I23" t="e">
        <f>_xlfn.XLOOKUP(t_rang[[#This Row],[Dato]],#REF!,#REF!)</f>
        <v>#REF!</v>
      </c>
      <c r="J23" t="e">
        <f>_xlfn.XLOOKUP(t_rang[[#This Row],[Dato]],#REF!,#REF!)</f>
        <v>#REF!</v>
      </c>
      <c r="K23" s="20" t="e">
        <f>_xlfn.XLOOKUP(t_rang[[#This Row],[Dato]],#REF!,#REF!)</f>
        <v>#REF!</v>
      </c>
      <c r="L23" s="20"/>
      <c r="M23" s="20"/>
      <c r="N23" s="20"/>
      <c r="O23" s="15"/>
      <c r="P23" s="22" t="e">
        <f>#REF!</f>
        <v>#REF!</v>
      </c>
      <c r="Q23" s="14" t="e">
        <f>#REF!</f>
        <v>#REF!</v>
      </c>
      <c r="R23" s="14" t="e">
        <f>#REF!</f>
        <v>#REF!</v>
      </c>
      <c r="S23" s="14" t="e">
        <f>#REF!</f>
        <v>#REF!</v>
      </c>
      <c r="T23" s="14" t="e">
        <f>#REF!</f>
        <v>#REF!</v>
      </c>
      <c r="U23" s="14" t="e">
        <f>#REF!</f>
        <v>#REF!</v>
      </c>
      <c r="V23" s="14" t="e">
        <f>#REF!</f>
        <v>#REF!</v>
      </c>
      <c r="W23" s="14" t="e">
        <f>#REF!</f>
        <v>#REF!</v>
      </c>
      <c r="X23" s="14" t="e">
        <f>#REF!</f>
        <v>#REF!</v>
      </c>
      <c r="Y23" s="14" t="e">
        <f>#REF!</f>
        <v>#REF!</v>
      </c>
      <c r="AA23" s="33" t="e">
        <f>t_tp[[#This Row],[Dato]]</f>
        <v>#REF!</v>
      </c>
      <c r="AB23" s="34" t="str" cm="1">
        <f t="array" ref="AB23">IFERROR(_xlfn._xlws.FILTER($Q$1:$Y$1,t_tp[[#This Row],[ahh]:[lev]]=LARGE(t_tp[[#This Row],[ahh]:[lev]],1)),"")</f>
        <v/>
      </c>
      <c r="AC23" s="34"/>
      <c r="AD23" s="34"/>
      <c r="AE23" s="34"/>
      <c r="AF23" s="34"/>
      <c r="AG23" s="34"/>
      <c r="AH23" s="34"/>
      <c r="AI23" s="34"/>
      <c r="AJ23" s="35"/>
      <c r="AK23" s="4"/>
      <c r="AL23" s="33" t="e">
        <f t="shared" si="0"/>
        <v>#REF!</v>
      </c>
      <c r="AM23" s="34" t="str" cm="1">
        <f t="array" ref="AM23">IFERROR(_xlfn._xlws.FILTER($Q$1:$Y$1,t_tp[[#This Row],[ahh]:[lev]]=SMALL(t_tp[[#This Row],[ahh]:[lev]],1)),"")</f>
        <v/>
      </c>
      <c r="AN23" s="34"/>
      <c r="AO23" s="34"/>
      <c r="AP23" s="34"/>
      <c r="AQ23" s="34"/>
      <c r="AR23" s="34"/>
      <c r="AS23" s="34"/>
      <c r="AT23" s="34"/>
      <c r="AU23" s="35"/>
    </row>
    <row r="24" spans="1:47" ht="14.25" thickTop="1" thickBot="1" x14ac:dyDescent="0.25">
      <c r="A24">
        <v>23</v>
      </c>
      <c r="B24" s="5" t="e">
        <f>#REF!</f>
        <v>#REF!</v>
      </c>
      <c r="C24" t="e">
        <f>_xlfn.XLOOKUP(t_rang[[#This Row],[Dato]],#REF!,#REF!)</f>
        <v>#REF!</v>
      </c>
      <c r="D24" t="e">
        <f>_xlfn.XLOOKUP(t_rang[[#This Row],[Dato]],#REF!,#REF!)</f>
        <v>#REF!</v>
      </c>
      <c r="E24" t="e">
        <f>_xlfn.XLOOKUP(t_rang[[#This Row],[Dato]],#REF!,#REF!)</f>
        <v>#REF!</v>
      </c>
      <c r="F24" t="e">
        <f>_xlfn.XLOOKUP(t_rang[[#This Row],[Dato]],#REF!,#REF!)</f>
        <v>#REF!</v>
      </c>
      <c r="G24" t="e">
        <f>_xlfn.XLOOKUP(t_rang[[#This Row],[Dato]],#REF!,#REF!)</f>
        <v>#REF!</v>
      </c>
      <c r="H24" t="e">
        <f>_xlfn.XLOOKUP(t_rang[[#This Row],[Dato]],#REF!,#REF!)</f>
        <v>#REF!</v>
      </c>
      <c r="I24" t="e">
        <f>_xlfn.XLOOKUP(t_rang[[#This Row],[Dato]],#REF!,#REF!)</f>
        <v>#REF!</v>
      </c>
      <c r="J24" t="e">
        <f>_xlfn.XLOOKUP(t_rang[[#This Row],[Dato]],#REF!,#REF!)</f>
        <v>#REF!</v>
      </c>
      <c r="K24" s="20" t="e">
        <f>_xlfn.XLOOKUP(t_rang[[#This Row],[Dato]],#REF!,#REF!)</f>
        <v>#REF!</v>
      </c>
      <c r="L24" s="20"/>
      <c r="M24" s="20"/>
      <c r="N24" s="20"/>
      <c r="O24" s="15"/>
      <c r="P24" s="22" t="e">
        <f>#REF!</f>
        <v>#REF!</v>
      </c>
      <c r="Q24" s="14" t="e">
        <f>#REF!</f>
        <v>#REF!</v>
      </c>
      <c r="R24" s="14" t="e">
        <f>#REF!</f>
        <v>#REF!</v>
      </c>
      <c r="S24" s="14" t="e">
        <f>#REF!</f>
        <v>#REF!</v>
      </c>
      <c r="T24" s="14" t="e">
        <f>#REF!</f>
        <v>#REF!</v>
      </c>
      <c r="U24" s="14" t="e">
        <f>#REF!</f>
        <v>#REF!</v>
      </c>
      <c r="V24" s="14" t="e">
        <f>#REF!</f>
        <v>#REF!</v>
      </c>
      <c r="W24" s="14" t="e">
        <f>#REF!</f>
        <v>#REF!</v>
      </c>
      <c r="X24" s="14" t="e">
        <f>#REF!</f>
        <v>#REF!</v>
      </c>
      <c r="Y24" s="14" t="e">
        <f>#REF!</f>
        <v>#REF!</v>
      </c>
      <c r="AA24" s="30" t="e">
        <f>t_tp[[#This Row],[Dato]]</f>
        <v>#REF!</v>
      </c>
      <c r="AB24" s="31" t="str" cm="1">
        <f t="array" ref="AB24">IFERROR(_xlfn._xlws.FILTER($Q$1:$Y$1,t_tp[[#This Row],[ahh]:[lev]]=LARGE(t_tp[[#This Row],[ahh]:[lev]],1)),"")</f>
        <v/>
      </c>
      <c r="AC24" s="31"/>
      <c r="AD24" s="31"/>
      <c r="AE24" s="31"/>
      <c r="AF24" s="31"/>
      <c r="AG24" s="31"/>
      <c r="AH24" s="31"/>
      <c r="AI24" s="31"/>
      <c r="AJ24" s="32"/>
      <c r="AK24" s="4"/>
      <c r="AL24" s="30" t="e">
        <f t="shared" si="0"/>
        <v>#REF!</v>
      </c>
      <c r="AM24" s="31" t="str" cm="1">
        <f t="array" ref="AM24">IFERROR(_xlfn._xlws.FILTER($Q$1:$Y$1,t_tp[[#This Row],[ahh]:[lev]]=SMALL(t_tp[[#This Row],[ahh]:[lev]],1)),"")</f>
        <v/>
      </c>
      <c r="AN24" s="31"/>
      <c r="AO24" s="31"/>
      <c r="AP24" s="31"/>
      <c r="AQ24" s="31"/>
      <c r="AR24" s="31"/>
      <c r="AS24" s="31"/>
      <c r="AT24" s="31"/>
      <c r="AU24" s="32"/>
    </row>
    <row r="25" spans="1:47" ht="14.25" thickTop="1" thickBot="1" x14ac:dyDescent="0.25">
      <c r="A25">
        <v>24</v>
      </c>
      <c r="B25" s="5" t="e">
        <f>#REF!</f>
        <v>#REF!</v>
      </c>
      <c r="C25" t="e">
        <f>_xlfn.XLOOKUP(t_rang[[#This Row],[Dato]],#REF!,#REF!)</f>
        <v>#REF!</v>
      </c>
      <c r="D25" t="e">
        <f>_xlfn.XLOOKUP(t_rang[[#This Row],[Dato]],#REF!,#REF!)</f>
        <v>#REF!</v>
      </c>
      <c r="E25" t="e">
        <f>_xlfn.XLOOKUP(t_rang[[#This Row],[Dato]],#REF!,#REF!)</f>
        <v>#REF!</v>
      </c>
      <c r="F25" t="e">
        <f>_xlfn.XLOOKUP(t_rang[[#This Row],[Dato]],#REF!,#REF!)</f>
        <v>#REF!</v>
      </c>
      <c r="G25" t="e">
        <f>_xlfn.XLOOKUP(t_rang[[#This Row],[Dato]],#REF!,#REF!)</f>
        <v>#REF!</v>
      </c>
      <c r="H25" t="e">
        <f>_xlfn.XLOOKUP(t_rang[[#This Row],[Dato]],#REF!,#REF!)</f>
        <v>#REF!</v>
      </c>
      <c r="I25" t="e">
        <f>_xlfn.XLOOKUP(t_rang[[#This Row],[Dato]],#REF!,#REF!)</f>
        <v>#REF!</v>
      </c>
      <c r="J25" t="e">
        <f>_xlfn.XLOOKUP(t_rang[[#This Row],[Dato]],#REF!,#REF!)</f>
        <v>#REF!</v>
      </c>
      <c r="K25" s="20" t="e">
        <f>_xlfn.XLOOKUP(t_rang[[#This Row],[Dato]],#REF!,#REF!)</f>
        <v>#REF!</v>
      </c>
      <c r="L25" s="20"/>
      <c r="M25" s="20"/>
      <c r="N25" s="20"/>
      <c r="O25" s="15"/>
      <c r="P25" s="22" t="e">
        <f>#REF!</f>
        <v>#REF!</v>
      </c>
      <c r="Q25" s="14" t="e">
        <f>#REF!</f>
        <v>#REF!</v>
      </c>
      <c r="R25" s="14" t="e">
        <f>#REF!</f>
        <v>#REF!</v>
      </c>
      <c r="S25" s="14" t="e">
        <f>#REF!</f>
        <v>#REF!</v>
      </c>
      <c r="T25" s="14" t="e">
        <f>#REF!</f>
        <v>#REF!</v>
      </c>
      <c r="U25" s="14" t="e">
        <f>#REF!</f>
        <v>#REF!</v>
      </c>
      <c r="V25" s="14" t="e">
        <f>#REF!</f>
        <v>#REF!</v>
      </c>
      <c r="W25" s="14" t="e">
        <f>#REF!</f>
        <v>#REF!</v>
      </c>
      <c r="X25" s="14" t="e">
        <f>#REF!</f>
        <v>#REF!</v>
      </c>
      <c r="Y25" s="14" t="e">
        <f>#REF!</f>
        <v>#REF!</v>
      </c>
      <c r="AA25" s="33" t="e">
        <f>t_tp[[#This Row],[Dato]]</f>
        <v>#REF!</v>
      </c>
      <c r="AB25" s="34" t="str" cm="1">
        <f t="array" ref="AB25">IFERROR(_xlfn._xlws.FILTER($Q$1:$Y$1,t_tp[[#This Row],[ahh]:[lev]]=LARGE(t_tp[[#This Row],[ahh]:[lev]],1)),"")</f>
        <v/>
      </c>
      <c r="AC25" s="34"/>
      <c r="AD25" s="34"/>
      <c r="AE25" s="34"/>
      <c r="AF25" s="34"/>
      <c r="AG25" s="34"/>
      <c r="AH25" s="34"/>
      <c r="AI25" s="34"/>
      <c r="AJ25" s="35"/>
      <c r="AK25" s="4"/>
      <c r="AL25" s="33" t="e">
        <f t="shared" si="0"/>
        <v>#REF!</v>
      </c>
      <c r="AM25" s="34" t="str" cm="1">
        <f t="array" ref="AM25">IFERROR(_xlfn._xlws.FILTER($Q$1:$Y$1,t_tp[[#This Row],[ahh]:[lev]]=SMALL(t_tp[[#This Row],[ahh]:[lev]],1)),"")</f>
        <v/>
      </c>
      <c r="AN25" s="34"/>
      <c r="AO25" s="34"/>
      <c r="AP25" s="34"/>
      <c r="AQ25" s="34"/>
      <c r="AR25" s="34"/>
      <c r="AS25" s="34"/>
      <c r="AT25" s="34"/>
      <c r="AU25" s="35"/>
    </row>
    <row r="26" spans="1:47" ht="14.25" thickTop="1" thickBot="1" x14ac:dyDescent="0.25">
      <c r="A26">
        <v>25</v>
      </c>
      <c r="B26" s="5" t="e">
        <f>#REF!</f>
        <v>#REF!</v>
      </c>
      <c r="C26" t="e">
        <f>_xlfn.XLOOKUP(t_rang[[#This Row],[Dato]],#REF!,#REF!)</f>
        <v>#REF!</v>
      </c>
      <c r="D26" t="e">
        <f>_xlfn.XLOOKUP(t_rang[[#This Row],[Dato]],#REF!,#REF!)</f>
        <v>#REF!</v>
      </c>
      <c r="E26" t="e">
        <f>_xlfn.XLOOKUP(t_rang[[#This Row],[Dato]],#REF!,#REF!)</f>
        <v>#REF!</v>
      </c>
      <c r="F26" t="e">
        <f>_xlfn.XLOOKUP(t_rang[[#This Row],[Dato]],#REF!,#REF!)</f>
        <v>#REF!</v>
      </c>
      <c r="G26" t="e">
        <f>_xlfn.XLOOKUP(t_rang[[#This Row],[Dato]],#REF!,#REF!)</f>
        <v>#REF!</v>
      </c>
      <c r="H26" t="e">
        <f>_xlfn.XLOOKUP(t_rang[[#This Row],[Dato]],#REF!,#REF!)</f>
        <v>#REF!</v>
      </c>
      <c r="I26" t="e">
        <f>_xlfn.XLOOKUP(t_rang[[#This Row],[Dato]],#REF!,#REF!)</f>
        <v>#REF!</v>
      </c>
      <c r="J26" t="e">
        <f>_xlfn.XLOOKUP(t_rang[[#This Row],[Dato]],#REF!,#REF!)</f>
        <v>#REF!</v>
      </c>
      <c r="K26" s="20" t="e">
        <f>_xlfn.XLOOKUP(t_rang[[#This Row],[Dato]],#REF!,#REF!)</f>
        <v>#REF!</v>
      </c>
      <c r="L26" s="20"/>
      <c r="M26" s="20"/>
      <c r="N26" s="20"/>
      <c r="O26" s="15"/>
      <c r="P26" s="22" t="e">
        <f>#REF!</f>
        <v>#REF!</v>
      </c>
      <c r="Q26" s="14" t="e">
        <f>#REF!</f>
        <v>#REF!</v>
      </c>
      <c r="R26" s="14" t="e">
        <f>#REF!</f>
        <v>#REF!</v>
      </c>
      <c r="S26" s="14" t="e">
        <f>#REF!</f>
        <v>#REF!</v>
      </c>
      <c r="T26" s="14" t="e">
        <f>#REF!</f>
        <v>#REF!</v>
      </c>
      <c r="U26" s="14" t="e">
        <f>#REF!</f>
        <v>#REF!</v>
      </c>
      <c r="V26" s="14" t="e">
        <f>#REF!</f>
        <v>#REF!</v>
      </c>
      <c r="W26" s="14" t="e">
        <f>#REF!</f>
        <v>#REF!</v>
      </c>
      <c r="X26" s="14" t="e">
        <f>#REF!</f>
        <v>#REF!</v>
      </c>
      <c r="Y26" s="14" t="e">
        <f>#REF!</f>
        <v>#REF!</v>
      </c>
      <c r="AA26" s="30" t="e">
        <f>t_tp[[#This Row],[Dato]]</f>
        <v>#REF!</v>
      </c>
      <c r="AB26" s="31" t="str" cm="1">
        <f t="array" ref="AB26">IFERROR(_xlfn._xlws.FILTER($Q$1:$Y$1,t_tp[[#This Row],[ahh]:[lev]]=LARGE(t_tp[[#This Row],[ahh]:[lev]],1)),"")</f>
        <v/>
      </c>
      <c r="AC26" s="31"/>
      <c r="AD26" s="31"/>
      <c r="AE26" s="31"/>
      <c r="AF26" s="31"/>
      <c r="AG26" s="31"/>
      <c r="AH26" s="31"/>
      <c r="AI26" s="31"/>
      <c r="AJ26" s="32"/>
      <c r="AK26" s="4"/>
      <c r="AL26" s="30" t="e">
        <f t="shared" si="0"/>
        <v>#REF!</v>
      </c>
      <c r="AM26" s="31" t="str" cm="1">
        <f t="array" ref="AM26">IFERROR(_xlfn._xlws.FILTER($Q$1:$Y$1,t_tp[[#This Row],[ahh]:[lev]]=SMALL(t_tp[[#This Row],[ahh]:[lev]],1)),"")</f>
        <v/>
      </c>
      <c r="AN26" s="31"/>
      <c r="AO26" s="31"/>
      <c r="AP26" s="31"/>
      <c r="AQ26" s="31"/>
      <c r="AR26" s="31"/>
      <c r="AS26" s="31"/>
      <c r="AT26" s="31"/>
      <c r="AU26" s="32"/>
    </row>
    <row r="27" spans="1:47" ht="14.25" thickTop="1" thickBot="1" x14ac:dyDescent="0.25">
      <c r="A27">
        <v>26</v>
      </c>
      <c r="B27" s="5" t="e">
        <f>#REF!</f>
        <v>#REF!</v>
      </c>
      <c r="C27" t="e">
        <f>_xlfn.XLOOKUP(t_rang[[#This Row],[Dato]],#REF!,#REF!)</f>
        <v>#REF!</v>
      </c>
      <c r="D27" t="e">
        <f>_xlfn.XLOOKUP(t_rang[[#This Row],[Dato]],#REF!,#REF!)</f>
        <v>#REF!</v>
      </c>
      <c r="E27" t="e">
        <f>_xlfn.XLOOKUP(t_rang[[#This Row],[Dato]],#REF!,#REF!)</f>
        <v>#REF!</v>
      </c>
      <c r="F27" t="e">
        <f>_xlfn.XLOOKUP(t_rang[[#This Row],[Dato]],#REF!,#REF!)</f>
        <v>#REF!</v>
      </c>
      <c r="G27" t="e">
        <f>_xlfn.XLOOKUP(t_rang[[#This Row],[Dato]],#REF!,#REF!)</f>
        <v>#REF!</v>
      </c>
      <c r="H27" t="e">
        <f>_xlfn.XLOOKUP(t_rang[[#This Row],[Dato]],#REF!,#REF!)</f>
        <v>#REF!</v>
      </c>
      <c r="I27" t="e">
        <f>_xlfn.XLOOKUP(t_rang[[#This Row],[Dato]],#REF!,#REF!)</f>
        <v>#REF!</v>
      </c>
      <c r="J27" t="e">
        <f>_xlfn.XLOOKUP(t_rang[[#This Row],[Dato]],#REF!,#REF!)</f>
        <v>#REF!</v>
      </c>
      <c r="K27" s="20" t="e">
        <f>_xlfn.XLOOKUP(t_rang[[#This Row],[Dato]],#REF!,#REF!)</f>
        <v>#REF!</v>
      </c>
      <c r="L27" s="20"/>
      <c r="M27" s="20"/>
      <c r="N27" s="20"/>
      <c r="O27" s="15"/>
      <c r="P27" s="22" t="e">
        <f>#REF!</f>
        <v>#REF!</v>
      </c>
      <c r="Q27" s="14" t="e">
        <f>#REF!</f>
        <v>#REF!</v>
      </c>
      <c r="R27" s="14" t="e">
        <f>#REF!</f>
        <v>#REF!</v>
      </c>
      <c r="S27" s="14" t="e">
        <f>#REF!</f>
        <v>#REF!</v>
      </c>
      <c r="T27" s="14" t="e">
        <f>#REF!</f>
        <v>#REF!</v>
      </c>
      <c r="U27" s="14" t="e">
        <f>#REF!</f>
        <v>#REF!</v>
      </c>
      <c r="V27" s="14" t="e">
        <f>#REF!</f>
        <v>#REF!</v>
      </c>
      <c r="W27" s="14" t="e">
        <f>#REF!</f>
        <v>#REF!</v>
      </c>
      <c r="X27" s="14" t="e">
        <f>#REF!</f>
        <v>#REF!</v>
      </c>
      <c r="Y27" s="14" t="e">
        <f>#REF!</f>
        <v>#REF!</v>
      </c>
      <c r="AA27" s="33" t="e">
        <f>t_tp[[#This Row],[Dato]]</f>
        <v>#REF!</v>
      </c>
      <c r="AB27" s="34" t="str" cm="1">
        <f t="array" ref="AB27">IFERROR(_xlfn._xlws.FILTER($Q$1:$Y$1,t_tp[[#This Row],[ahh]:[lev]]=LARGE(t_tp[[#This Row],[ahh]:[lev]],1)),"")</f>
        <v/>
      </c>
      <c r="AC27" s="34"/>
      <c r="AD27" s="34"/>
      <c r="AE27" s="34"/>
      <c r="AF27" s="34"/>
      <c r="AG27" s="34"/>
      <c r="AH27" s="34"/>
      <c r="AI27" s="34"/>
      <c r="AJ27" s="35"/>
      <c r="AK27" s="4"/>
      <c r="AL27" s="33" t="e">
        <f t="shared" si="0"/>
        <v>#REF!</v>
      </c>
      <c r="AM27" s="34" t="str" cm="1">
        <f t="array" ref="AM27">IFERROR(_xlfn._xlws.FILTER($Q$1:$Y$1,t_tp[[#This Row],[ahh]:[lev]]=SMALL(t_tp[[#This Row],[ahh]:[lev]],1)),"")</f>
        <v/>
      </c>
      <c r="AN27" s="34"/>
      <c r="AO27" s="34"/>
      <c r="AP27" s="34"/>
      <c r="AQ27" s="34"/>
      <c r="AR27" s="34"/>
      <c r="AS27" s="34"/>
      <c r="AT27" s="34"/>
      <c r="AU27" s="35"/>
    </row>
    <row r="28" spans="1:47" ht="14.25" thickTop="1" thickBot="1" x14ac:dyDescent="0.25">
      <c r="A28">
        <v>27</v>
      </c>
      <c r="B28" s="5" t="e">
        <f>#REF!</f>
        <v>#REF!</v>
      </c>
      <c r="C28" t="e">
        <f>_xlfn.XLOOKUP(t_rang[[#This Row],[Dato]],#REF!,#REF!)</f>
        <v>#REF!</v>
      </c>
      <c r="D28" t="e">
        <f>_xlfn.XLOOKUP(t_rang[[#This Row],[Dato]],#REF!,#REF!)</f>
        <v>#REF!</v>
      </c>
      <c r="E28" t="e">
        <f>_xlfn.XLOOKUP(t_rang[[#This Row],[Dato]],#REF!,#REF!)</f>
        <v>#REF!</v>
      </c>
      <c r="F28" t="e">
        <f>_xlfn.XLOOKUP(t_rang[[#This Row],[Dato]],#REF!,#REF!)</f>
        <v>#REF!</v>
      </c>
      <c r="G28" t="e">
        <f>_xlfn.XLOOKUP(t_rang[[#This Row],[Dato]],#REF!,#REF!)</f>
        <v>#REF!</v>
      </c>
      <c r="H28" t="e">
        <f>_xlfn.XLOOKUP(t_rang[[#This Row],[Dato]],#REF!,#REF!)</f>
        <v>#REF!</v>
      </c>
      <c r="I28" t="e">
        <f>_xlfn.XLOOKUP(t_rang[[#This Row],[Dato]],#REF!,#REF!)</f>
        <v>#REF!</v>
      </c>
      <c r="J28" t="e">
        <f>_xlfn.XLOOKUP(t_rang[[#This Row],[Dato]],#REF!,#REF!)</f>
        <v>#REF!</v>
      </c>
      <c r="K28" s="20" t="e">
        <f>_xlfn.XLOOKUP(t_rang[[#This Row],[Dato]],#REF!,#REF!)</f>
        <v>#REF!</v>
      </c>
      <c r="L28" s="20"/>
      <c r="M28" s="20"/>
      <c r="N28" s="20"/>
      <c r="O28" s="15"/>
      <c r="P28" s="22" t="e">
        <f>#REF!</f>
        <v>#REF!</v>
      </c>
      <c r="Q28" s="14" t="e">
        <f>#REF!</f>
        <v>#REF!</v>
      </c>
      <c r="R28" s="14" t="e">
        <f>#REF!</f>
        <v>#REF!</v>
      </c>
      <c r="S28" s="14" t="e">
        <f>#REF!</f>
        <v>#REF!</v>
      </c>
      <c r="T28" s="14" t="e">
        <f>#REF!</f>
        <v>#REF!</v>
      </c>
      <c r="U28" s="14" t="e">
        <f>#REF!</f>
        <v>#REF!</v>
      </c>
      <c r="V28" s="14" t="e">
        <f>#REF!</f>
        <v>#REF!</v>
      </c>
      <c r="W28" s="14" t="e">
        <f>#REF!</f>
        <v>#REF!</v>
      </c>
      <c r="X28" s="14" t="e">
        <f>#REF!</f>
        <v>#REF!</v>
      </c>
      <c r="Y28" s="14" t="e">
        <f>#REF!</f>
        <v>#REF!</v>
      </c>
      <c r="AA28" s="30" t="e">
        <f>t_tp[[#This Row],[Dato]]</f>
        <v>#REF!</v>
      </c>
      <c r="AB28" s="31" t="str" cm="1">
        <f t="array" ref="AB28">IFERROR(_xlfn._xlws.FILTER($Q$1:$Y$1,t_tp[[#This Row],[ahh]:[lev]]=LARGE(t_tp[[#This Row],[ahh]:[lev]],1)),"")</f>
        <v/>
      </c>
      <c r="AC28" s="31"/>
      <c r="AD28" s="31"/>
      <c r="AE28" s="31"/>
      <c r="AF28" s="31"/>
      <c r="AG28" s="31"/>
      <c r="AH28" s="31"/>
      <c r="AI28" s="31"/>
      <c r="AJ28" s="32"/>
      <c r="AK28" s="4"/>
      <c r="AL28" s="30" t="e">
        <f t="shared" si="0"/>
        <v>#REF!</v>
      </c>
      <c r="AM28" s="31" t="str" cm="1">
        <f t="array" ref="AM28">IFERROR(_xlfn._xlws.FILTER($Q$1:$Y$1,t_tp[[#This Row],[ahh]:[lev]]=SMALL(t_tp[[#This Row],[ahh]:[lev]],1)),"")</f>
        <v/>
      </c>
      <c r="AN28" s="31"/>
      <c r="AO28" s="31"/>
      <c r="AP28" s="31"/>
      <c r="AQ28" s="31"/>
      <c r="AR28" s="31"/>
      <c r="AS28" s="31"/>
      <c r="AT28" s="31"/>
      <c r="AU28" s="32"/>
    </row>
    <row r="29" spans="1:47" ht="14.25" thickTop="1" thickBot="1" x14ac:dyDescent="0.25">
      <c r="A29">
        <v>28</v>
      </c>
      <c r="B29" s="5" t="e">
        <f>#REF!</f>
        <v>#REF!</v>
      </c>
      <c r="C29" t="e">
        <f>_xlfn.XLOOKUP(t_rang[[#This Row],[Dato]],#REF!,#REF!)</f>
        <v>#REF!</v>
      </c>
      <c r="D29" t="e">
        <f>_xlfn.XLOOKUP(t_rang[[#This Row],[Dato]],#REF!,#REF!)</f>
        <v>#REF!</v>
      </c>
      <c r="E29" t="e">
        <f>_xlfn.XLOOKUP(t_rang[[#This Row],[Dato]],#REF!,#REF!)</f>
        <v>#REF!</v>
      </c>
      <c r="F29" t="e">
        <f>_xlfn.XLOOKUP(t_rang[[#This Row],[Dato]],#REF!,#REF!)</f>
        <v>#REF!</v>
      </c>
      <c r="G29" t="e">
        <f>_xlfn.XLOOKUP(t_rang[[#This Row],[Dato]],#REF!,#REF!)</f>
        <v>#REF!</v>
      </c>
      <c r="H29" t="e">
        <f>_xlfn.XLOOKUP(t_rang[[#This Row],[Dato]],#REF!,#REF!)</f>
        <v>#REF!</v>
      </c>
      <c r="I29" t="e">
        <f>_xlfn.XLOOKUP(t_rang[[#This Row],[Dato]],#REF!,#REF!)</f>
        <v>#REF!</v>
      </c>
      <c r="J29" t="e">
        <f>_xlfn.XLOOKUP(t_rang[[#This Row],[Dato]],#REF!,#REF!)</f>
        <v>#REF!</v>
      </c>
      <c r="K29" s="20" t="e">
        <f>_xlfn.XLOOKUP(t_rang[[#This Row],[Dato]],#REF!,#REF!)</f>
        <v>#REF!</v>
      </c>
      <c r="L29" s="20"/>
      <c r="M29" s="20"/>
      <c r="N29" s="20"/>
      <c r="O29" s="15"/>
      <c r="P29" s="22" t="e">
        <f>#REF!</f>
        <v>#REF!</v>
      </c>
      <c r="Q29" s="14" t="e">
        <f>#REF!</f>
        <v>#REF!</v>
      </c>
      <c r="R29" s="14" t="e">
        <f>#REF!</f>
        <v>#REF!</v>
      </c>
      <c r="S29" s="14" t="e">
        <f>#REF!</f>
        <v>#REF!</v>
      </c>
      <c r="T29" s="14" t="e">
        <f>#REF!</f>
        <v>#REF!</v>
      </c>
      <c r="U29" s="14" t="e">
        <f>#REF!</f>
        <v>#REF!</v>
      </c>
      <c r="V29" s="14" t="e">
        <f>#REF!</f>
        <v>#REF!</v>
      </c>
      <c r="W29" s="14" t="e">
        <f>#REF!</f>
        <v>#REF!</v>
      </c>
      <c r="X29" s="14" t="e">
        <f>#REF!</f>
        <v>#REF!</v>
      </c>
      <c r="Y29" s="14" t="e">
        <f>#REF!</f>
        <v>#REF!</v>
      </c>
      <c r="AA29" s="33" t="e">
        <f>t_tp[[#This Row],[Dato]]</f>
        <v>#REF!</v>
      </c>
      <c r="AB29" s="34" t="str" cm="1">
        <f t="array" ref="AB29">IFERROR(_xlfn._xlws.FILTER($Q$1:$Y$1,t_tp[[#This Row],[ahh]:[lev]]=LARGE(t_tp[[#This Row],[ahh]:[lev]],1)),"")</f>
        <v/>
      </c>
      <c r="AC29" s="34"/>
      <c r="AD29" s="34"/>
      <c r="AE29" s="34"/>
      <c r="AF29" s="34"/>
      <c r="AG29" s="34"/>
      <c r="AH29" s="34"/>
      <c r="AI29" s="34"/>
      <c r="AJ29" s="35"/>
      <c r="AK29" s="4"/>
      <c r="AL29" s="33" t="e">
        <f t="shared" si="0"/>
        <v>#REF!</v>
      </c>
      <c r="AM29" s="34" t="str" cm="1">
        <f t="array" ref="AM29">IFERROR(_xlfn._xlws.FILTER($Q$1:$Y$1,t_tp[[#This Row],[ahh]:[lev]]=SMALL(t_tp[[#This Row],[ahh]:[lev]],1)),"")</f>
        <v/>
      </c>
      <c r="AN29" s="34"/>
      <c r="AO29" s="34"/>
      <c r="AP29" s="34"/>
      <c r="AQ29" s="34"/>
      <c r="AR29" s="34"/>
      <c r="AS29" s="34"/>
      <c r="AT29" s="34"/>
      <c r="AU29" s="35"/>
    </row>
    <row r="30" spans="1:47" ht="14.25" thickTop="1" thickBot="1" x14ac:dyDescent="0.25">
      <c r="A30">
        <v>29</v>
      </c>
      <c r="B30" s="5" t="e">
        <f>#REF!</f>
        <v>#REF!</v>
      </c>
      <c r="C30" t="e">
        <f>_xlfn.XLOOKUP(t_rang[[#This Row],[Dato]],#REF!,#REF!)</f>
        <v>#REF!</v>
      </c>
      <c r="D30" t="e">
        <f>_xlfn.XLOOKUP(t_rang[[#This Row],[Dato]],#REF!,#REF!)</f>
        <v>#REF!</v>
      </c>
      <c r="E30" t="e">
        <f>_xlfn.XLOOKUP(t_rang[[#This Row],[Dato]],#REF!,#REF!)</f>
        <v>#REF!</v>
      </c>
      <c r="F30" t="e">
        <f>_xlfn.XLOOKUP(t_rang[[#This Row],[Dato]],#REF!,#REF!)</f>
        <v>#REF!</v>
      </c>
      <c r="G30" t="e">
        <f>_xlfn.XLOOKUP(t_rang[[#This Row],[Dato]],#REF!,#REF!)</f>
        <v>#REF!</v>
      </c>
      <c r="H30" t="e">
        <f>_xlfn.XLOOKUP(t_rang[[#This Row],[Dato]],#REF!,#REF!)</f>
        <v>#REF!</v>
      </c>
      <c r="I30" t="e">
        <f>_xlfn.XLOOKUP(t_rang[[#This Row],[Dato]],#REF!,#REF!)</f>
        <v>#REF!</v>
      </c>
      <c r="J30" t="e">
        <f>_xlfn.XLOOKUP(t_rang[[#This Row],[Dato]],#REF!,#REF!)</f>
        <v>#REF!</v>
      </c>
      <c r="K30" s="20" t="e">
        <f>_xlfn.XLOOKUP(t_rang[[#This Row],[Dato]],#REF!,#REF!)</f>
        <v>#REF!</v>
      </c>
      <c r="L30" s="20"/>
      <c r="M30" s="20"/>
      <c r="N30" s="20"/>
      <c r="O30" s="15"/>
      <c r="P30" s="22" t="e">
        <f>#REF!</f>
        <v>#REF!</v>
      </c>
      <c r="Q30" s="14" t="e">
        <f>#REF!</f>
        <v>#REF!</v>
      </c>
      <c r="R30" s="14" t="e">
        <f>#REF!</f>
        <v>#REF!</v>
      </c>
      <c r="S30" s="14" t="e">
        <f>#REF!</f>
        <v>#REF!</v>
      </c>
      <c r="T30" s="14" t="e">
        <f>#REF!</f>
        <v>#REF!</v>
      </c>
      <c r="U30" s="14" t="e">
        <f>#REF!</f>
        <v>#REF!</v>
      </c>
      <c r="V30" s="14" t="e">
        <f>#REF!</f>
        <v>#REF!</v>
      </c>
      <c r="W30" s="14" t="e">
        <f>#REF!</f>
        <v>#REF!</v>
      </c>
      <c r="X30" s="14" t="e">
        <f>#REF!</f>
        <v>#REF!</v>
      </c>
      <c r="Y30" s="14" t="e">
        <f>#REF!</f>
        <v>#REF!</v>
      </c>
      <c r="AA30" s="30" t="e">
        <f>t_tp[[#This Row],[Dato]]</f>
        <v>#REF!</v>
      </c>
      <c r="AB30" s="31" t="str" cm="1">
        <f t="array" ref="AB30">IFERROR(_xlfn._xlws.FILTER($Q$1:$Y$1,t_tp[[#This Row],[ahh]:[lev]]=LARGE(t_tp[[#This Row],[ahh]:[lev]],1)),"")</f>
        <v/>
      </c>
      <c r="AC30" s="31"/>
      <c r="AD30" s="31"/>
      <c r="AE30" s="31"/>
      <c r="AF30" s="31"/>
      <c r="AG30" s="31"/>
      <c r="AH30" s="31"/>
      <c r="AI30" s="31"/>
      <c r="AJ30" s="32"/>
      <c r="AK30" s="4"/>
      <c r="AL30" s="30" t="e">
        <f t="shared" si="0"/>
        <v>#REF!</v>
      </c>
      <c r="AM30" s="31" t="str" cm="1">
        <f t="array" ref="AM30">IFERROR(_xlfn._xlws.FILTER($Q$1:$Y$1,t_tp[[#This Row],[ahh]:[lev]]=SMALL(t_tp[[#This Row],[ahh]:[lev]],1)),"")</f>
        <v/>
      </c>
      <c r="AN30" s="31"/>
      <c r="AO30" s="31"/>
      <c r="AP30" s="31"/>
      <c r="AQ30" s="31"/>
      <c r="AR30" s="31"/>
      <c r="AS30" s="31"/>
      <c r="AT30" s="31"/>
      <c r="AU30" s="32"/>
    </row>
    <row r="31" spans="1:47" ht="14.25" thickTop="1" thickBot="1" x14ac:dyDescent="0.25">
      <c r="A31">
        <v>30</v>
      </c>
      <c r="B31" s="5" t="e">
        <f>#REF!</f>
        <v>#REF!</v>
      </c>
      <c r="C31" t="e">
        <f>_xlfn.XLOOKUP(t_rang[[#This Row],[Dato]],#REF!,#REF!)</f>
        <v>#REF!</v>
      </c>
      <c r="D31" t="e">
        <f>_xlfn.XLOOKUP(t_rang[[#This Row],[Dato]],#REF!,#REF!)</f>
        <v>#REF!</v>
      </c>
      <c r="E31" t="e">
        <f>_xlfn.XLOOKUP(t_rang[[#This Row],[Dato]],#REF!,#REF!)</f>
        <v>#REF!</v>
      </c>
      <c r="F31" t="e">
        <f>_xlfn.XLOOKUP(t_rang[[#This Row],[Dato]],#REF!,#REF!)</f>
        <v>#REF!</v>
      </c>
      <c r="G31" t="e">
        <f>_xlfn.XLOOKUP(t_rang[[#This Row],[Dato]],#REF!,#REF!)</f>
        <v>#REF!</v>
      </c>
      <c r="H31" t="e">
        <f>_xlfn.XLOOKUP(t_rang[[#This Row],[Dato]],#REF!,#REF!)</f>
        <v>#REF!</v>
      </c>
      <c r="I31" t="e">
        <f>_xlfn.XLOOKUP(t_rang[[#This Row],[Dato]],#REF!,#REF!)</f>
        <v>#REF!</v>
      </c>
      <c r="J31" t="e">
        <f>_xlfn.XLOOKUP(t_rang[[#This Row],[Dato]],#REF!,#REF!)</f>
        <v>#REF!</v>
      </c>
      <c r="K31" s="20" t="e">
        <f>_xlfn.XLOOKUP(t_rang[[#This Row],[Dato]],#REF!,#REF!)</f>
        <v>#REF!</v>
      </c>
      <c r="L31" s="20"/>
      <c r="M31" s="20"/>
      <c r="N31" s="20"/>
      <c r="O31" s="15"/>
      <c r="P31" s="22" t="e">
        <f>#REF!</f>
        <v>#REF!</v>
      </c>
      <c r="Q31" s="14" t="e">
        <f>#REF!</f>
        <v>#REF!</v>
      </c>
      <c r="R31" s="14" t="e">
        <f>#REF!</f>
        <v>#REF!</v>
      </c>
      <c r="S31" s="14" t="e">
        <f>#REF!</f>
        <v>#REF!</v>
      </c>
      <c r="T31" s="14" t="e">
        <f>#REF!</f>
        <v>#REF!</v>
      </c>
      <c r="U31" s="14" t="e">
        <f>#REF!</f>
        <v>#REF!</v>
      </c>
      <c r="V31" s="14" t="e">
        <f>#REF!</f>
        <v>#REF!</v>
      </c>
      <c r="W31" s="14" t="e">
        <f>#REF!</f>
        <v>#REF!</v>
      </c>
      <c r="X31" s="14" t="e">
        <f>#REF!</f>
        <v>#REF!</v>
      </c>
      <c r="Y31" s="14" t="e">
        <f>#REF!</f>
        <v>#REF!</v>
      </c>
      <c r="AA31" s="33" t="e">
        <f>t_tp[[#This Row],[Dato]]</f>
        <v>#REF!</v>
      </c>
      <c r="AB31" s="34" t="str" cm="1">
        <f t="array" ref="AB31">IFERROR(_xlfn._xlws.FILTER($Q$1:$Y$1,t_tp[[#This Row],[ahh]:[lev]]=LARGE(t_tp[[#This Row],[ahh]:[lev]],1)),"")</f>
        <v/>
      </c>
      <c r="AC31" s="34"/>
      <c r="AD31" s="34"/>
      <c r="AE31" s="34"/>
      <c r="AF31" s="34"/>
      <c r="AG31" s="34"/>
      <c r="AH31" s="34"/>
      <c r="AI31" s="34"/>
      <c r="AJ31" s="35"/>
      <c r="AK31" s="4"/>
      <c r="AL31" s="33" t="e">
        <f t="shared" si="0"/>
        <v>#REF!</v>
      </c>
      <c r="AM31" s="34" t="str" cm="1">
        <f t="array" ref="AM31">IFERROR(_xlfn._xlws.FILTER($Q$1:$Y$1,t_tp[[#This Row],[ahh]:[lev]]=SMALL(t_tp[[#This Row],[ahh]:[lev]],1)),"")</f>
        <v/>
      </c>
      <c r="AN31" s="34"/>
      <c r="AO31" s="34"/>
      <c r="AP31" s="34"/>
      <c r="AQ31" s="34"/>
      <c r="AR31" s="34"/>
      <c r="AS31" s="34"/>
      <c r="AT31" s="34"/>
      <c r="AU31" s="35"/>
    </row>
    <row r="32" spans="1:47" ht="14.25" thickTop="1" thickBot="1" x14ac:dyDescent="0.25">
      <c r="A32">
        <v>31</v>
      </c>
      <c r="B32" s="5" t="e">
        <f>#REF!</f>
        <v>#REF!</v>
      </c>
      <c r="C32" t="e">
        <f>_xlfn.XLOOKUP(t_rang[[#This Row],[Dato]],#REF!,#REF!)</f>
        <v>#REF!</v>
      </c>
      <c r="D32" t="e">
        <f>_xlfn.XLOOKUP(t_rang[[#This Row],[Dato]],#REF!,#REF!)</f>
        <v>#REF!</v>
      </c>
      <c r="E32" t="e">
        <f>_xlfn.XLOOKUP(t_rang[[#This Row],[Dato]],#REF!,#REF!)</f>
        <v>#REF!</v>
      </c>
      <c r="F32" t="e">
        <f>_xlfn.XLOOKUP(t_rang[[#This Row],[Dato]],#REF!,#REF!)</f>
        <v>#REF!</v>
      </c>
      <c r="G32" t="e">
        <f>_xlfn.XLOOKUP(t_rang[[#This Row],[Dato]],#REF!,#REF!)</f>
        <v>#REF!</v>
      </c>
      <c r="H32" t="e">
        <f>_xlfn.XLOOKUP(t_rang[[#This Row],[Dato]],#REF!,#REF!)</f>
        <v>#REF!</v>
      </c>
      <c r="I32" t="e">
        <f>_xlfn.XLOOKUP(t_rang[[#This Row],[Dato]],#REF!,#REF!)</f>
        <v>#REF!</v>
      </c>
      <c r="J32" t="e">
        <f>_xlfn.XLOOKUP(t_rang[[#This Row],[Dato]],#REF!,#REF!)</f>
        <v>#REF!</v>
      </c>
      <c r="K32" s="20" t="e">
        <f>_xlfn.XLOOKUP(t_rang[[#This Row],[Dato]],#REF!,#REF!)</f>
        <v>#REF!</v>
      </c>
      <c r="L32" s="20"/>
      <c r="M32" s="20"/>
      <c r="N32" s="20"/>
      <c r="O32" s="15"/>
      <c r="P32" s="22" t="e">
        <f>#REF!</f>
        <v>#REF!</v>
      </c>
      <c r="Q32" s="14" t="e">
        <f>#REF!</f>
        <v>#REF!</v>
      </c>
      <c r="R32" s="14" t="e">
        <f>#REF!</f>
        <v>#REF!</v>
      </c>
      <c r="S32" s="14" t="e">
        <f>#REF!</f>
        <v>#REF!</v>
      </c>
      <c r="T32" s="14" t="e">
        <f>#REF!</f>
        <v>#REF!</v>
      </c>
      <c r="U32" s="14" t="e">
        <f>#REF!</f>
        <v>#REF!</v>
      </c>
      <c r="V32" s="14" t="e">
        <f>#REF!</f>
        <v>#REF!</v>
      </c>
      <c r="W32" s="14" t="e">
        <f>#REF!</f>
        <v>#REF!</v>
      </c>
      <c r="X32" s="14" t="e">
        <f>#REF!</f>
        <v>#REF!</v>
      </c>
      <c r="Y32" s="14" t="e">
        <f>#REF!</f>
        <v>#REF!</v>
      </c>
      <c r="AA32" s="30" t="e">
        <f>t_tp[[#This Row],[Dato]]</f>
        <v>#REF!</v>
      </c>
      <c r="AB32" s="31" t="str" cm="1">
        <f t="array" ref="AB32">IFERROR(_xlfn._xlws.FILTER($Q$1:$Y$1,t_tp[[#This Row],[ahh]:[lev]]=LARGE(t_tp[[#This Row],[ahh]:[lev]],1)),"")</f>
        <v/>
      </c>
      <c r="AC32" s="31"/>
      <c r="AD32" s="31"/>
      <c r="AE32" s="31"/>
      <c r="AF32" s="31"/>
      <c r="AG32" s="31"/>
      <c r="AH32" s="31"/>
      <c r="AI32" s="31"/>
      <c r="AJ32" s="32"/>
      <c r="AK32" s="4"/>
      <c r="AL32" s="30" t="e">
        <f t="shared" si="0"/>
        <v>#REF!</v>
      </c>
      <c r="AM32" s="31" t="str" cm="1">
        <f t="array" ref="AM32">IFERROR(_xlfn._xlws.FILTER($Q$1:$Y$1,t_tp[[#This Row],[ahh]:[lev]]=SMALL(t_tp[[#This Row],[ahh]:[lev]],1)),"")</f>
        <v/>
      </c>
      <c r="AN32" s="31"/>
      <c r="AO32" s="31"/>
      <c r="AP32" s="31"/>
      <c r="AQ32" s="31"/>
      <c r="AR32" s="31"/>
      <c r="AS32" s="31"/>
      <c r="AT32" s="31"/>
      <c r="AU32" s="32"/>
    </row>
    <row r="33" spans="1:47" ht="14.25" thickTop="1" thickBot="1" x14ac:dyDescent="0.25">
      <c r="A33">
        <v>32</v>
      </c>
      <c r="B33" s="5" t="e">
        <f>#REF!</f>
        <v>#REF!</v>
      </c>
      <c r="C33" t="e">
        <f>_xlfn.XLOOKUP(t_rang[[#This Row],[Dato]],#REF!,#REF!)</f>
        <v>#REF!</v>
      </c>
      <c r="D33" t="e">
        <f>_xlfn.XLOOKUP(t_rang[[#This Row],[Dato]],#REF!,#REF!)</f>
        <v>#REF!</v>
      </c>
      <c r="E33" t="e">
        <f>_xlfn.XLOOKUP(t_rang[[#This Row],[Dato]],#REF!,#REF!)</f>
        <v>#REF!</v>
      </c>
      <c r="F33" t="e">
        <f>_xlfn.XLOOKUP(t_rang[[#This Row],[Dato]],#REF!,#REF!)</f>
        <v>#REF!</v>
      </c>
      <c r="G33" t="e">
        <f>_xlfn.XLOOKUP(t_rang[[#This Row],[Dato]],#REF!,#REF!)</f>
        <v>#REF!</v>
      </c>
      <c r="H33" t="e">
        <f>_xlfn.XLOOKUP(t_rang[[#This Row],[Dato]],#REF!,#REF!)</f>
        <v>#REF!</v>
      </c>
      <c r="I33" t="e">
        <f>_xlfn.XLOOKUP(t_rang[[#This Row],[Dato]],#REF!,#REF!)</f>
        <v>#REF!</v>
      </c>
      <c r="J33" t="e">
        <f>_xlfn.XLOOKUP(t_rang[[#This Row],[Dato]],#REF!,#REF!)</f>
        <v>#REF!</v>
      </c>
      <c r="K33" s="20" t="e">
        <f>_xlfn.XLOOKUP(t_rang[[#This Row],[Dato]],#REF!,#REF!)</f>
        <v>#REF!</v>
      </c>
      <c r="L33" s="20"/>
      <c r="M33" s="20"/>
      <c r="N33" s="20"/>
      <c r="O33" s="15"/>
      <c r="P33" s="22" t="e">
        <f>#REF!</f>
        <v>#REF!</v>
      </c>
      <c r="Q33" s="14" t="e">
        <f>#REF!</f>
        <v>#REF!</v>
      </c>
      <c r="R33" s="14" t="e">
        <f>#REF!</f>
        <v>#REF!</v>
      </c>
      <c r="S33" s="14" t="e">
        <f>#REF!</f>
        <v>#REF!</v>
      </c>
      <c r="T33" s="14" t="e">
        <f>#REF!</f>
        <v>#REF!</v>
      </c>
      <c r="U33" s="14" t="e">
        <f>#REF!</f>
        <v>#REF!</v>
      </c>
      <c r="V33" s="14" t="e">
        <f>#REF!</f>
        <v>#REF!</v>
      </c>
      <c r="W33" s="14" t="e">
        <f>#REF!</f>
        <v>#REF!</v>
      </c>
      <c r="X33" s="14" t="e">
        <f>#REF!</f>
        <v>#REF!</v>
      </c>
      <c r="Y33" s="14" t="e">
        <f>#REF!</f>
        <v>#REF!</v>
      </c>
      <c r="AA33" s="33" t="e">
        <f>t_tp[[#This Row],[Dato]]</f>
        <v>#REF!</v>
      </c>
      <c r="AB33" s="34" t="str" cm="1">
        <f t="array" ref="AB33">IFERROR(_xlfn._xlws.FILTER($Q$1:$Y$1,t_tp[[#This Row],[ahh]:[lev]]=LARGE(t_tp[[#This Row],[ahh]:[lev]],1)),"")</f>
        <v/>
      </c>
      <c r="AC33" s="34"/>
      <c r="AD33" s="34"/>
      <c r="AE33" s="34"/>
      <c r="AF33" s="34"/>
      <c r="AG33" s="34"/>
      <c r="AH33" s="34"/>
      <c r="AI33" s="34"/>
      <c r="AJ33" s="35"/>
      <c r="AK33" s="4"/>
      <c r="AL33" s="33" t="e">
        <f t="shared" si="0"/>
        <v>#REF!</v>
      </c>
      <c r="AM33" s="34" t="str" cm="1">
        <f t="array" ref="AM33">IFERROR(_xlfn._xlws.FILTER($Q$1:$Y$1,t_tp[[#This Row],[ahh]:[lev]]=SMALL(t_tp[[#This Row],[ahh]:[lev]],1)),"")</f>
        <v/>
      </c>
      <c r="AN33" s="34"/>
      <c r="AO33" s="34"/>
      <c r="AP33" s="34"/>
      <c r="AQ33" s="34"/>
      <c r="AR33" s="34"/>
      <c r="AS33" s="34"/>
      <c r="AT33" s="34"/>
      <c r="AU33" s="35"/>
    </row>
    <row r="34" spans="1:47" ht="14.25" thickTop="1" thickBot="1" x14ac:dyDescent="0.25">
      <c r="A34">
        <v>33</v>
      </c>
      <c r="B34" s="5" t="e">
        <f>#REF!</f>
        <v>#REF!</v>
      </c>
      <c r="C34" t="e">
        <f>_xlfn.XLOOKUP(t_rang[[#This Row],[Dato]],#REF!,#REF!)</f>
        <v>#REF!</v>
      </c>
      <c r="D34" t="e">
        <f>_xlfn.XLOOKUP(t_rang[[#This Row],[Dato]],#REF!,#REF!)</f>
        <v>#REF!</v>
      </c>
      <c r="E34" t="e">
        <f>_xlfn.XLOOKUP(t_rang[[#This Row],[Dato]],#REF!,#REF!)</f>
        <v>#REF!</v>
      </c>
      <c r="F34" t="e">
        <f>_xlfn.XLOOKUP(t_rang[[#This Row],[Dato]],#REF!,#REF!)</f>
        <v>#REF!</v>
      </c>
      <c r="G34" t="e">
        <f>_xlfn.XLOOKUP(t_rang[[#This Row],[Dato]],#REF!,#REF!)</f>
        <v>#REF!</v>
      </c>
      <c r="H34" t="e">
        <f>_xlfn.XLOOKUP(t_rang[[#This Row],[Dato]],#REF!,#REF!)</f>
        <v>#REF!</v>
      </c>
      <c r="I34" t="e">
        <f>_xlfn.XLOOKUP(t_rang[[#This Row],[Dato]],#REF!,#REF!)</f>
        <v>#REF!</v>
      </c>
      <c r="J34" t="e">
        <f>_xlfn.XLOOKUP(t_rang[[#This Row],[Dato]],#REF!,#REF!)</f>
        <v>#REF!</v>
      </c>
      <c r="K34" s="20" t="e">
        <f>_xlfn.XLOOKUP(t_rang[[#This Row],[Dato]],#REF!,#REF!)</f>
        <v>#REF!</v>
      </c>
      <c r="L34" s="20"/>
      <c r="M34" s="20"/>
      <c r="N34" s="20"/>
      <c r="O34" s="15"/>
      <c r="P34" s="22" t="e">
        <f>#REF!</f>
        <v>#REF!</v>
      </c>
      <c r="Q34" s="14" t="e">
        <f>#REF!</f>
        <v>#REF!</v>
      </c>
      <c r="R34" s="14" t="e">
        <f>#REF!</f>
        <v>#REF!</v>
      </c>
      <c r="S34" s="14" t="e">
        <f>#REF!</f>
        <v>#REF!</v>
      </c>
      <c r="T34" s="14" t="e">
        <f>#REF!</f>
        <v>#REF!</v>
      </c>
      <c r="U34" s="14" t="e">
        <f>#REF!</f>
        <v>#REF!</v>
      </c>
      <c r="V34" s="14" t="e">
        <f>#REF!</f>
        <v>#REF!</v>
      </c>
      <c r="W34" s="14" t="e">
        <f>#REF!</f>
        <v>#REF!</v>
      </c>
      <c r="X34" s="14" t="e">
        <f>#REF!</f>
        <v>#REF!</v>
      </c>
      <c r="Y34" s="14" t="e">
        <f>#REF!</f>
        <v>#REF!</v>
      </c>
      <c r="AA34" s="30" t="e">
        <f>t_tp[[#This Row],[Dato]]</f>
        <v>#REF!</v>
      </c>
      <c r="AB34" s="31" t="str" cm="1">
        <f t="array" ref="AB34">IFERROR(_xlfn._xlws.FILTER($Q$1:$Y$1,t_tp[[#This Row],[ahh]:[lev]]=LARGE(t_tp[[#This Row],[ahh]:[lev]],1)),"")</f>
        <v/>
      </c>
      <c r="AC34" s="31"/>
      <c r="AD34" s="31"/>
      <c r="AE34" s="31"/>
      <c r="AF34" s="31"/>
      <c r="AG34" s="31"/>
      <c r="AH34" s="31"/>
      <c r="AI34" s="31"/>
      <c r="AJ34" s="32"/>
      <c r="AK34" s="4"/>
      <c r="AL34" s="30" t="e">
        <f t="shared" si="0"/>
        <v>#REF!</v>
      </c>
      <c r="AM34" s="31" t="str" cm="1">
        <f t="array" ref="AM34">IFERROR(_xlfn._xlws.FILTER($Q$1:$Y$1,t_tp[[#This Row],[ahh]:[lev]]=SMALL(t_tp[[#This Row],[ahh]:[lev]],1)),"")</f>
        <v/>
      </c>
      <c r="AN34" s="31"/>
      <c r="AO34" s="31"/>
      <c r="AP34" s="31"/>
      <c r="AQ34" s="31"/>
      <c r="AR34" s="31"/>
      <c r="AS34" s="31"/>
      <c r="AT34" s="31"/>
      <c r="AU34" s="32"/>
    </row>
    <row r="35" spans="1:47" ht="14.25" thickTop="1" thickBot="1" x14ac:dyDescent="0.25">
      <c r="A35">
        <v>34</v>
      </c>
      <c r="B35" s="5" t="e">
        <f>#REF!</f>
        <v>#REF!</v>
      </c>
      <c r="C35" t="e">
        <f>_xlfn.XLOOKUP(t_rang[[#This Row],[Dato]],#REF!,#REF!)</f>
        <v>#REF!</v>
      </c>
      <c r="D35" t="e">
        <f>_xlfn.XLOOKUP(t_rang[[#This Row],[Dato]],#REF!,#REF!)</f>
        <v>#REF!</v>
      </c>
      <c r="E35" t="e">
        <f>_xlfn.XLOOKUP(t_rang[[#This Row],[Dato]],#REF!,#REF!)</f>
        <v>#REF!</v>
      </c>
      <c r="F35" t="e">
        <f>_xlfn.XLOOKUP(t_rang[[#This Row],[Dato]],#REF!,#REF!)</f>
        <v>#REF!</v>
      </c>
      <c r="G35" t="e">
        <f>_xlfn.XLOOKUP(t_rang[[#This Row],[Dato]],#REF!,#REF!)</f>
        <v>#REF!</v>
      </c>
      <c r="H35" t="e">
        <f>_xlfn.XLOOKUP(t_rang[[#This Row],[Dato]],#REF!,#REF!)</f>
        <v>#REF!</v>
      </c>
      <c r="I35" t="e">
        <f>_xlfn.XLOOKUP(t_rang[[#This Row],[Dato]],#REF!,#REF!)</f>
        <v>#REF!</v>
      </c>
      <c r="J35" t="e">
        <f>_xlfn.XLOOKUP(t_rang[[#This Row],[Dato]],#REF!,#REF!)</f>
        <v>#REF!</v>
      </c>
      <c r="K35" s="20" t="e">
        <f>_xlfn.XLOOKUP(t_rang[[#This Row],[Dato]],#REF!,#REF!)</f>
        <v>#REF!</v>
      </c>
      <c r="L35" s="20"/>
      <c r="M35" s="20"/>
      <c r="N35" s="20"/>
      <c r="O35" s="15"/>
      <c r="P35" s="22" t="e">
        <f>#REF!</f>
        <v>#REF!</v>
      </c>
      <c r="Q35" s="14" t="e">
        <f>#REF!</f>
        <v>#REF!</v>
      </c>
      <c r="R35" s="14" t="e">
        <f>#REF!</f>
        <v>#REF!</v>
      </c>
      <c r="S35" s="14" t="e">
        <f>#REF!</f>
        <v>#REF!</v>
      </c>
      <c r="T35" s="14" t="e">
        <f>#REF!</f>
        <v>#REF!</v>
      </c>
      <c r="U35" s="14" t="e">
        <f>#REF!</f>
        <v>#REF!</v>
      </c>
      <c r="V35" s="14" t="e">
        <f>#REF!</f>
        <v>#REF!</v>
      </c>
      <c r="W35" s="14" t="e">
        <f>#REF!</f>
        <v>#REF!</v>
      </c>
      <c r="X35" s="14" t="e">
        <f>#REF!</f>
        <v>#REF!</v>
      </c>
      <c r="Y35" s="14" t="e">
        <f>#REF!</f>
        <v>#REF!</v>
      </c>
      <c r="AA35" s="33" t="e">
        <f>t_tp[[#This Row],[Dato]]</f>
        <v>#REF!</v>
      </c>
      <c r="AB35" s="34" t="str" cm="1">
        <f t="array" ref="AB35">IFERROR(_xlfn._xlws.FILTER($Q$1:$Y$1,t_tp[[#This Row],[ahh]:[lev]]=LARGE(t_tp[[#This Row],[ahh]:[lev]],1)),"")</f>
        <v/>
      </c>
      <c r="AC35" s="34"/>
      <c r="AD35" s="34"/>
      <c r="AE35" s="34"/>
      <c r="AF35" s="34"/>
      <c r="AG35" s="34"/>
      <c r="AH35" s="34"/>
      <c r="AI35" s="34"/>
      <c r="AJ35" s="35"/>
      <c r="AK35" s="4"/>
      <c r="AL35" s="33" t="e">
        <f t="shared" si="0"/>
        <v>#REF!</v>
      </c>
      <c r="AM35" s="34" t="str" cm="1">
        <f t="array" ref="AM35">IFERROR(_xlfn._xlws.FILTER($Q$1:$Y$1,t_tp[[#This Row],[ahh]:[lev]]=SMALL(t_tp[[#This Row],[ahh]:[lev]],1)),"")</f>
        <v/>
      </c>
      <c r="AN35" s="34"/>
      <c r="AO35" s="34"/>
      <c r="AP35" s="34"/>
      <c r="AQ35" s="34"/>
      <c r="AR35" s="34"/>
      <c r="AS35" s="34"/>
      <c r="AT35" s="34"/>
      <c r="AU35" s="35"/>
    </row>
    <row r="36" spans="1:47" ht="14.25" thickTop="1" thickBot="1" x14ac:dyDescent="0.25">
      <c r="A36">
        <v>35</v>
      </c>
      <c r="B36" s="5" t="e">
        <f>#REF!</f>
        <v>#REF!</v>
      </c>
      <c r="C36" t="e">
        <f>_xlfn.XLOOKUP(t_rang[[#This Row],[Dato]],#REF!,#REF!)</f>
        <v>#REF!</v>
      </c>
      <c r="D36" t="e">
        <f>_xlfn.XLOOKUP(t_rang[[#This Row],[Dato]],#REF!,#REF!)</f>
        <v>#REF!</v>
      </c>
      <c r="E36" t="e">
        <f>_xlfn.XLOOKUP(t_rang[[#This Row],[Dato]],#REF!,#REF!)</f>
        <v>#REF!</v>
      </c>
      <c r="F36" t="e">
        <f>_xlfn.XLOOKUP(t_rang[[#This Row],[Dato]],#REF!,#REF!)</f>
        <v>#REF!</v>
      </c>
      <c r="G36" t="e">
        <f>_xlfn.XLOOKUP(t_rang[[#This Row],[Dato]],#REF!,#REF!)</f>
        <v>#REF!</v>
      </c>
      <c r="H36" t="e">
        <f>_xlfn.XLOOKUP(t_rang[[#This Row],[Dato]],#REF!,#REF!)</f>
        <v>#REF!</v>
      </c>
      <c r="I36" t="e">
        <f>_xlfn.XLOOKUP(t_rang[[#This Row],[Dato]],#REF!,#REF!)</f>
        <v>#REF!</v>
      </c>
      <c r="J36" t="e">
        <f>_xlfn.XLOOKUP(t_rang[[#This Row],[Dato]],#REF!,#REF!)</f>
        <v>#REF!</v>
      </c>
      <c r="K36" s="20" t="e">
        <f>_xlfn.XLOOKUP(t_rang[[#This Row],[Dato]],#REF!,#REF!)</f>
        <v>#REF!</v>
      </c>
      <c r="L36" s="20"/>
      <c r="M36" s="20"/>
      <c r="N36" s="20"/>
      <c r="O36" s="15"/>
      <c r="P36" s="22" t="e">
        <f>#REF!</f>
        <v>#REF!</v>
      </c>
      <c r="Q36" s="14" t="e">
        <f>#REF!</f>
        <v>#REF!</v>
      </c>
      <c r="R36" s="14" t="e">
        <f>#REF!</f>
        <v>#REF!</v>
      </c>
      <c r="S36" s="14" t="e">
        <f>#REF!</f>
        <v>#REF!</v>
      </c>
      <c r="T36" s="14" t="e">
        <f>#REF!</f>
        <v>#REF!</v>
      </c>
      <c r="U36" s="14" t="e">
        <f>#REF!</f>
        <v>#REF!</v>
      </c>
      <c r="V36" s="14" t="e">
        <f>#REF!</f>
        <v>#REF!</v>
      </c>
      <c r="W36" s="14" t="e">
        <f>#REF!</f>
        <v>#REF!</v>
      </c>
      <c r="X36" s="14" t="e">
        <f>#REF!</f>
        <v>#REF!</v>
      </c>
      <c r="Y36" s="14" t="e">
        <f>#REF!</f>
        <v>#REF!</v>
      </c>
      <c r="AA36" s="30" t="e">
        <f>t_tp[[#This Row],[Dato]]</f>
        <v>#REF!</v>
      </c>
      <c r="AB36" s="31" t="str" cm="1">
        <f t="array" ref="AB36">IFERROR(_xlfn._xlws.FILTER($Q$1:$Y$1,t_tp[[#This Row],[ahh]:[lev]]=LARGE(t_tp[[#This Row],[ahh]:[lev]],1)),"")</f>
        <v/>
      </c>
      <c r="AC36" s="31"/>
      <c r="AD36" s="31"/>
      <c r="AE36" s="31"/>
      <c r="AF36" s="31"/>
      <c r="AG36" s="31"/>
      <c r="AH36" s="31"/>
      <c r="AI36" s="31"/>
      <c r="AJ36" s="32"/>
      <c r="AK36" s="4"/>
      <c r="AL36" s="30" t="e">
        <f t="shared" si="0"/>
        <v>#REF!</v>
      </c>
      <c r="AM36" s="31" t="str" cm="1">
        <f t="array" ref="AM36">IFERROR(_xlfn._xlws.FILTER($Q$1:$Y$1,t_tp[[#This Row],[ahh]:[lev]]=SMALL(t_tp[[#This Row],[ahh]:[lev]],1)),"")</f>
        <v/>
      </c>
      <c r="AN36" s="31"/>
      <c r="AO36" s="31"/>
      <c r="AP36" s="31"/>
      <c r="AQ36" s="31"/>
      <c r="AR36" s="31"/>
      <c r="AS36" s="31"/>
      <c r="AT36" s="31"/>
      <c r="AU36" s="32"/>
    </row>
    <row r="37" spans="1:47" ht="14.25" thickTop="1" thickBot="1" x14ac:dyDescent="0.25">
      <c r="A37">
        <v>36</v>
      </c>
      <c r="B37" s="5" t="e">
        <f>#REF!</f>
        <v>#REF!</v>
      </c>
      <c r="C37" t="e">
        <f>_xlfn.XLOOKUP(t_rang[[#This Row],[Dato]],#REF!,#REF!)</f>
        <v>#REF!</v>
      </c>
      <c r="D37" t="e">
        <f>_xlfn.XLOOKUP(t_rang[[#This Row],[Dato]],#REF!,#REF!)</f>
        <v>#REF!</v>
      </c>
      <c r="E37" t="e">
        <f>_xlfn.XLOOKUP(t_rang[[#This Row],[Dato]],#REF!,#REF!)</f>
        <v>#REF!</v>
      </c>
      <c r="F37" t="e">
        <f>_xlfn.XLOOKUP(t_rang[[#This Row],[Dato]],#REF!,#REF!)</f>
        <v>#REF!</v>
      </c>
      <c r="G37" t="e">
        <f>_xlfn.XLOOKUP(t_rang[[#This Row],[Dato]],#REF!,#REF!)</f>
        <v>#REF!</v>
      </c>
      <c r="H37" t="e">
        <f>_xlfn.XLOOKUP(t_rang[[#This Row],[Dato]],#REF!,#REF!)</f>
        <v>#REF!</v>
      </c>
      <c r="I37" t="e">
        <f>_xlfn.XLOOKUP(t_rang[[#This Row],[Dato]],#REF!,#REF!)</f>
        <v>#REF!</v>
      </c>
      <c r="J37" t="e">
        <f>_xlfn.XLOOKUP(t_rang[[#This Row],[Dato]],#REF!,#REF!)</f>
        <v>#REF!</v>
      </c>
      <c r="K37" s="20" t="e">
        <f>_xlfn.XLOOKUP(t_rang[[#This Row],[Dato]],#REF!,#REF!)</f>
        <v>#REF!</v>
      </c>
      <c r="L37" s="20"/>
      <c r="M37" s="20"/>
      <c r="N37" s="20"/>
      <c r="O37" s="15"/>
      <c r="P37" s="22" t="e">
        <f>#REF!</f>
        <v>#REF!</v>
      </c>
      <c r="Q37" s="14" t="e">
        <f>#REF!</f>
        <v>#REF!</v>
      </c>
      <c r="R37" s="14" t="e">
        <f>#REF!</f>
        <v>#REF!</v>
      </c>
      <c r="S37" s="14" t="e">
        <f>#REF!</f>
        <v>#REF!</v>
      </c>
      <c r="T37" s="14" t="e">
        <f>#REF!</f>
        <v>#REF!</v>
      </c>
      <c r="U37" s="14" t="e">
        <f>#REF!</f>
        <v>#REF!</v>
      </c>
      <c r="V37" s="14" t="e">
        <f>#REF!</f>
        <v>#REF!</v>
      </c>
      <c r="W37" s="14" t="e">
        <f>#REF!</f>
        <v>#REF!</v>
      </c>
      <c r="X37" s="14" t="e">
        <f>#REF!</f>
        <v>#REF!</v>
      </c>
      <c r="Y37" s="14" t="e">
        <f>#REF!</f>
        <v>#REF!</v>
      </c>
      <c r="AA37" s="33" t="e">
        <f>t_tp[[#This Row],[Dato]]</f>
        <v>#REF!</v>
      </c>
      <c r="AB37" s="34" t="str" cm="1">
        <f t="array" ref="AB37">IFERROR(_xlfn._xlws.FILTER($Q$1:$Y$1,t_tp[[#This Row],[ahh]:[lev]]=LARGE(t_tp[[#This Row],[ahh]:[lev]],1)),"")</f>
        <v/>
      </c>
      <c r="AC37" s="34"/>
      <c r="AD37" s="34"/>
      <c r="AE37" s="34"/>
      <c r="AF37" s="34"/>
      <c r="AG37" s="34"/>
      <c r="AH37" s="34"/>
      <c r="AI37" s="34"/>
      <c r="AJ37" s="35"/>
      <c r="AK37" s="4"/>
      <c r="AL37" s="33" t="e">
        <f t="shared" si="0"/>
        <v>#REF!</v>
      </c>
      <c r="AM37" s="34" t="str" cm="1">
        <f t="array" ref="AM37">IFERROR(_xlfn._xlws.FILTER($Q$1:$Y$1,t_tp[[#This Row],[ahh]:[lev]]=SMALL(t_tp[[#This Row],[ahh]:[lev]],1)),"")</f>
        <v/>
      </c>
      <c r="AN37" s="34"/>
      <c r="AO37" s="34"/>
      <c r="AP37" s="34"/>
      <c r="AQ37" s="34"/>
      <c r="AR37" s="34"/>
      <c r="AS37" s="34"/>
      <c r="AT37" s="34"/>
      <c r="AU37" s="35"/>
    </row>
    <row r="38" spans="1:47" ht="14.25" thickTop="1" thickBot="1" x14ac:dyDescent="0.25">
      <c r="A38">
        <v>37</v>
      </c>
      <c r="B38" s="5" t="e">
        <f>#REF!</f>
        <v>#REF!</v>
      </c>
      <c r="C38" t="e">
        <f>_xlfn.XLOOKUP(t_rang[[#This Row],[Dato]],#REF!,#REF!)</f>
        <v>#REF!</v>
      </c>
      <c r="D38" t="e">
        <f>_xlfn.XLOOKUP(t_rang[[#This Row],[Dato]],#REF!,#REF!)</f>
        <v>#REF!</v>
      </c>
      <c r="E38" t="e">
        <f>_xlfn.XLOOKUP(t_rang[[#This Row],[Dato]],#REF!,#REF!)</f>
        <v>#REF!</v>
      </c>
      <c r="F38" t="e">
        <f>_xlfn.XLOOKUP(t_rang[[#This Row],[Dato]],#REF!,#REF!)</f>
        <v>#REF!</v>
      </c>
      <c r="G38" t="e">
        <f>_xlfn.XLOOKUP(t_rang[[#This Row],[Dato]],#REF!,#REF!)</f>
        <v>#REF!</v>
      </c>
      <c r="H38" t="e">
        <f>_xlfn.XLOOKUP(t_rang[[#This Row],[Dato]],#REF!,#REF!)</f>
        <v>#REF!</v>
      </c>
      <c r="I38" t="e">
        <f>_xlfn.XLOOKUP(t_rang[[#This Row],[Dato]],#REF!,#REF!)</f>
        <v>#REF!</v>
      </c>
      <c r="J38" t="e">
        <f>_xlfn.XLOOKUP(t_rang[[#This Row],[Dato]],#REF!,#REF!)</f>
        <v>#REF!</v>
      </c>
      <c r="K38" s="20" t="e">
        <f>_xlfn.XLOOKUP(t_rang[[#This Row],[Dato]],#REF!,#REF!)</f>
        <v>#REF!</v>
      </c>
      <c r="L38" s="20"/>
      <c r="M38" s="20"/>
      <c r="N38" s="20"/>
      <c r="O38" s="15"/>
      <c r="P38" s="22" t="e">
        <f>#REF!</f>
        <v>#REF!</v>
      </c>
      <c r="Q38" s="14" t="e">
        <f>#REF!</f>
        <v>#REF!</v>
      </c>
      <c r="R38" s="14" t="e">
        <f>#REF!</f>
        <v>#REF!</v>
      </c>
      <c r="S38" s="14" t="e">
        <f>#REF!</f>
        <v>#REF!</v>
      </c>
      <c r="T38" s="14" t="e">
        <f>#REF!</f>
        <v>#REF!</v>
      </c>
      <c r="U38" s="14" t="e">
        <f>#REF!</f>
        <v>#REF!</v>
      </c>
      <c r="V38" s="14" t="e">
        <f>#REF!</f>
        <v>#REF!</v>
      </c>
      <c r="W38" s="14" t="e">
        <f>#REF!</f>
        <v>#REF!</v>
      </c>
      <c r="X38" s="14" t="e">
        <f>#REF!</f>
        <v>#REF!</v>
      </c>
      <c r="Y38" s="14" t="e">
        <f>#REF!</f>
        <v>#REF!</v>
      </c>
      <c r="AA38" s="30" t="e">
        <f>t_tp[[#This Row],[Dato]]</f>
        <v>#REF!</v>
      </c>
      <c r="AB38" s="31" t="str" cm="1">
        <f t="array" ref="AB38">IFERROR(_xlfn._xlws.FILTER($Q$1:$Y$1,t_tp[[#This Row],[ahh]:[lev]]=LARGE(t_tp[[#This Row],[ahh]:[lev]],1)),"")</f>
        <v/>
      </c>
      <c r="AC38" s="31"/>
      <c r="AD38" s="31"/>
      <c r="AE38" s="31"/>
      <c r="AF38" s="31"/>
      <c r="AG38" s="31"/>
      <c r="AH38" s="31"/>
      <c r="AI38" s="31"/>
      <c r="AJ38" s="32"/>
      <c r="AK38" s="4"/>
      <c r="AL38" s="30" t="e">
        <f t="shared" si="0"/>
        <v>#REF!</v>
      </c>
      <c r="AM38" s="31" t="str" cm="1">
        <f t="array" ref="AM38">IFERROR(_xlfn._xlws.FILTER($Q$1:$Y$1,t_tp[[#This Row],[ahh]:[lev]]=SMALL(t_tp[[#This Row],[ahh]:[lev]],1)),"")</f>
        <v/>
      </c>
      <c r="AN38" s="31"/>
      <c r="AO38" s="31"/>
      <c r="AP38" s="31"/>
      <c r="AQ38" s="31"/>
      <c r="AR38" s="31"/>
      <c r="AS38" s="31"/>
      <c r="AT38" s="31"/>
      <c r="AU38" s="32"/>
    </row>
    <row r="39" spans="1:47" ht="14.25" thickTop="1" thickBot="1" x14ac:dyDescent="0.25">
      <c r="A39">
        <v>38</v>
      </c>
      <c r="B39" s="5" t="e">
        <f>#REF!</f>
        <v>#REF!</v>
      </c>
      <c r="C39" t="e">
        <f>_xlfn.XLOOKUP(t_rang[[#This Row],[Dato]],#REF!,#REF!)</f>
        <v>#REF!</v>
      </c>
      <c r="D39" t="e">
        <f>_xlfn.XLOOKUP(t_rang[[#This Row],[Dato]],#REF!,#REF!)</f>
        <v>#REF!</v>
      </c>
      <c r="E39" t="e">
        <f>_xlfn.XLOOKUP(t_rang[[#This Row],[Dato]],#REF!,#REF!)</f>
        <v>#REF!</v>
      </c>
      <c r="F39" t="e">
        <f>_xlfn.XLOOKUP(t_rang[[#This Row],[Dato]],#REF!,#REF!)</f>
        <v>#REF!</v>
      </c>
      <c r="G39" t="e">
        <f>_xlfn.XLOOKUP(t_rang[[#This Row],[Dato]],#REF!,#REF!)</f>
        <v>#REF!</v>
      </c>
      <c r="H39" t="e">
        <f>_xlfn.XLOOKUP(t_rang[[#This Row],[Dato]],#REF!,#REF!)</f>
        <v>#REF!</v>
      </c>
      <c r="I39" t="e">
        <f>_xlfn.XLOOKUP(t_rang[[#This Row],[Dato]],#REF!,#REF!)</f>
        <v>#REF!</v>
      </c>
      <c r="J39" t="e">
        <f>_xlfn.XLOOKUP(t_rang[[#This Row],[Dato]],#REF!,#REF!)</f>
        <v>#REF!</v>
      </c>
      <c r="K39" s="20" t="e">
        <f>_xlfn.XLOOKUP(t_rang[[#This Row],[Dato]],#REF!,#REF!)</f>
        <v>#REF!</v>
      </c>
      <c r="L39" s="20"/>
      <c r="M39" s="20"/>
      <c r="N39" s="20"/>
      <c r="O39" s="15"/>
      <c r="P39" s="22" t="e">
        <f>#REF!</f>
        <v>#REF!</v>
      </c>
      <c r="Q39" s="14" t="e">
        <f>#REF!</f>
        <v>#REF!</v>
      </c>
      <c r="R39" s="14" t="e">
        <f>#REF!</f>
        <v>#REF!</v>
      </c>
      <c r="S39" s="14" t="e">
        <f>#REF!</f>
        <v>#REF!</v>
      </c>
      <c r="T39" s="14" t="e">
        <f>#REF!</f>
        <v>#REF!</v>
      </c>
      <c r="U39" s="14" t="e">
        <f>#REF!</f>
        <v>#REF!</v>
      </c>
      <c r="V39" s="14" t="e">
        <f>#REF!</f>
        <v>#REF!</v>
      </c>
      <c r="W39" s="14" t="e">
        <f>#REF!</f>
        <v>#REF!</v>
      </c>
      <c r="X39" s="14" t="e">
        <f>#REF!</f>
        <v>#REF!</v>
      </c>
      <c r="Y39" s="14" t="e">
        <f>#REF!</f>
        <v>#REF!</v>
      </c>
      <c r="AA39" s="33" t="e">
        <f>t_tp[[#This Row],[Dato]]</f>
        <v>#REF!</v>
      </c>
      <c r="AB39" s="34" t="str" cm="1">
        <f t="array" ref="AB39">IFERROR(_xlfn._xlws.FILTER($Q$1:$Y$1,t_tp[[#This Row],[ahh]:[lev]]=LARGE(t_tp[[#This Row],[ahh]:[lev]],1)),"")</f>
        <v/>
      </c>
      <c r="AC39" s="34"/>
      <c r="AD39" s="34"/>
      <c r="AE39" s="34"/>
      <c r="AF39" s="34"/>
      <c r="AG39" s="34"/>
      <c r="AH39" s="34"/>
      <c r="AI39" s="34"/>
      <c r="AJ39" s="35"/>
      <c r="AK39" s="4"/>
      <c r="AL39" s="33" t="e">
        <f t="shared" si="0"/>
        <v>#REF!</v>
      </c>
      <c r="AM39" s="34" t="str" cm="1">
        <f t="array" ref="AM39">IFERROR(_xlfn._xlws.FILTER($Q$1:$Y$1,t_tp[[#This Row],[ahh]:[lev]]=SMALL(t_tp[[#This Row],[ahh]:[lev]],1)),"")</f>
        <v/>
      </c>
      <c r="AN39" s="34"/>
      <c r="AO39" s="34"/>
      <c r="AP39" s="34"/>
      <c r="AQ39" s="34"/>
      <c r="AR39" s="34"/>
      <c r="AS39" s="34"/>
      <c r="AT39" s="34"/>
      <c r="AU39" s="35"/>
    </row>
    <row r="40" spans="1:47" ht="14.25" thickTop="1" thickBot="1" x14ac:dyDescent="0.25">
      <c r="A40">
        <v>39</v>
      </c>
      <c r="B40" s="5" t="e">
        <f>#REF!</f>
        <v>#REF!</v>
      </c>
      <c r="C40" t="e">
        <f>_xlfn.XLOOKUP(t_rang[[#This Row],[Dato]],#REF!,#REF!)</f>
        <v>#REF!</v>
      </c>
      <c r="D40" t="e">
        <f>_xlfn.XLOOKUP(t_rang[[#This Row],[Dato]],#REF!,#REF!)</f>
        <v>#REF!</v>
      </c>
      <c r="E40" t="e">
        <f>_xlfn.XLOOKUP(t_rang[[#This Row],[Dato]],#REF!,#REF!)</f>
        <v>#REF!</v>
      </c>
      <c r="F40" t="e">
        <f>_xlfn.XLOOKUP(t_rang[[#This Row],[Dato]],#REF!,#REF!)</f>
        <v>#REF!</v>
      </c>
      <c r="G40" t="e">
        <f>_xlfn.XLOOKUP(t_rang[[#This Row],[Dato]],#REF!,#REF!)</f>
        <v>#REF!</v>
      </c>
      <c r="H40" t="e">
        <f>_xlfn.XLOOKUP(t_rang[[#This Row],[Dato]],#REF!,#REF!)</f>
        <v>#REF!</v>
      </c>
      <c r="I40" t="e">
        <f>_xlfn.XLOOKUP(t_rang[[#This Row],[Dato]],#REF!,#REF!)</f>
        <v>#REF!</v>
      </c>
      <c r="J40" t="e">
        <f>_xlfn.XLOOKUP(t_rang[[#This Row],[Dato]],#REF!,#REF!)</f>
        <v>#REF!</v>
      </c>
      <c r="K40" s="20" t="e">
        <f>_xlfn.XLOOKUP(t_rang[[#This Row],[Dato]],#REF!,#REF!)</f>
        <v>#REF!</v>
      </c>
      <c r="L40" s="20"/>
      <c r="M40" s="20"/>
      <c r="N40" s="20"/>
      <c r="O40" s="15"/>
      <c r="P40" s="22" t="e">
        <f>#REF!</f>
        <v>#REF!</v>
      </c>
      <c r="Q40" s="14" t="e">
        <f>#REF!</f>
        <v>#REF!</v>
      </c>
      <c r="R40" s="14" t="e">
        <f>#REF!</f>
        <v>#REF!</v>
      </c>
      <c r="S40" s="14" t="e">
        <f>#REF!</f>
        <v>#REF!</v>
      </c>
      <c r="T40" s="14" t="e">
        <f>#REF!</f>
        <v>#REF!</v>
      </c>
      <c r="U40" s="14" t="e">
        <f>#REF!</f>
        <v>#REF!</v>
      </c>
      <c r="V40" s="14" t="e">
        <f>#REF!</f>
        <v>#REF!</v>
      </c>
      <c r="W40" s="14" t="e">
        <f>#REF!</f>
        <v>#REF!</v>
      </c>
      <c r="X40" s="14" t="e">
        <f>#REF!</f>
        <v>#REF!</v>
      </c>
      <c r="Y40" s="14" t="e">
        <f>#REF!</f>
        <v>#REF!</v>
      </c>
      <c r="AA40" s="30" t="e">
        <f>t_tp[[#This Row],[Dato]]</f>
        <v>#REF!</v>
      </c>
      <c r="AB40" s="31" t="str" cm="1">
        <f t="array" ref="AB40">IFERROR(_xlfn._xlws.FILTER($Q$1:$Y$1,t_tp[[#This Row],[ahh]:[lev]]=LARGE(t_tp[[#This Row],[ahh]:[lev]],1)),"")</f>
        <v/>
      </c>
      <c r="AC40" s="31"/>
      <c r="AD40" s="31"/>
      <c r="AE40" s="31"/>
      <c r="AF40" s="31"/>
      <c r="AG40" s="31"/>
      <c r="AH40" s="31"/>
      <c r="AI40" s="31"/>
      <c r="AJ40" s="32"/>
      <c r="AK40" s="4"/>
      <c r="AL40" s="30" t="e">
        <f t="shared" si="0"/>
        <v>#REF!</v>
      </c>
      <c r="AM40" s="31" t="str" cm="1">
        <f t="array" ref="AM40">IFERROR(_xlfn._xlws.FILTER($Q$1:$Y$1,t_tp[[#This Row],[ahh]:[lev]]=SMALL(t_tp[[#This Row],[ahh]:[lev]],1)),"")</f>
        <v/>
      </c>
      <c r="AN40" s="31"/>
      <c r="AO40" s="31"/>
      <c r="AP40" s="31"/>
      <c r="AQ40" s="31"/>
      <c r="AR40" s="31"/>
      <c r="AS40" s="31"/>
      <c r="AT40" s="31"/>
      <c r="AU40" s="32"/>
    </row>
    <row r="41" spans="1:47" ht="14.25" thickTop="1" thickBot="1" x14ac:dyDescent="0.25">
      <c r="A41">
        <v>40</v>
      </c>
      <c r="B41" s="5" t="e">
        <f>#REF!</f>
        <v>#REF!</v>
      </c>
      <c r="C41" t="e">
        <f>_xlfn.XLOOKUP(t_rang[[#This Row],[Dato]],#REF!,#REF!)</f>
        <v>#REF!</v>
      </c>
      <c r="D41" t="e">
        <f>_xlfn.XLOOKUP(t_rang[[#This Row],[Dato]],#REF!,#REF!)</f>
        <v>#REF!</v>
      </c>
      <c r="E41" t="e">
        <f>_xlfn.XLOOKUP(t_rang[[#This Row],[Dato]],#REF!,#REF!)</f>
        <v>#REF!</v>
      </c>
      <c r="F41" t="e">
        <f>_xlfn.XLOOKUP(t_rang[[#This Row],[Dato]],#REF!,#REF!)</f>
        <v>#REF!</v>
      </c>
      <c r="G41" t="e">
        <f>_xlfn.XLOOKUP(t_rang[[#This Row],[Dato]],#REF!,#REF!)</f>
        <v>#REF!</v>
      </c>
      <c r="H41" t="e">
        <f>_xlfn.XLOOKUP(t_rang[[#This Row],[Dato]],#REF!,#REF!)</f>
        <v>#REF!</v>
      </c>
      <c r="I41" t="e">
        <f>_xlfn.XLOOKUP(t_rang[[#This Row],[Dato]],#REF!,#REF!)</f>
        <v>#REF!</v>
      </c>
      <c r="J41" t="e">
        <f>_xlfn.XLOOKUP(t_rang[[#This Row],[Dato]],#REF!,#REF!)</f>
        <v>#REF!</v>
      </c>
      <c r="K41" s="20" t="e">
        <f>_xlfn.XLOOKUP(t_rang[[#This Row],[Dato]],#REF!,#REF!)</f>
        <v>#REF!</v>
      </c>
      <c r="L41" s="20"/>
      <c r="M41" s="20"/>
      <c r="N41" s="20"/>
      <c r="O41" s="15"/>
      <c r="P41" s="22" t="e">
        <f>#REF!</f>
        <v>#REF!</v>
      </c>
      <c r="Q41" s="14" t="e">
        <f>#REF!</f>
        <v>#REF!</v>
      </c>
      <c r="R41" s="14" t="e">
        <f>#REF!</f>
        <v>#REF!</v>
      </c>
      <c r="S41" s="14" t="e">
        <f>#REF!</f>
        <v>#REF!</v>
      </c>
      <c r="T41" s="14" t="e">
        <f>#REF!</f>
        <v>#REF!</v>
      </c>
      <c r="U41" s="14" t="e">
        <f>#REF!</f>
        <v>#REF!</v>
      </c>
      <c r="V41" s="14" t="e">
        <f>#REF!</f>
        <v>#REF!</v>
      </c>
      <c r="W41" s="14" t="e">
        <f>#REF!</f>
        <v>#REF!</v>
      </c>
      <c r="X41" s="14" t="e">
        <f>#REF!</f>
        <v>#REF!</v>
      </c>
      <c r="Y41" s="14" t="e">
        <f>#REF!</f>
        <v>#REF!</v>
      </c>
      <c r="AA41" s="33" t="e">
        <f>t_tp[[#This Row],[Dato]]</f>
        <v>#REF!</v>
      </c>
      <c r="AB41" s="34" t="str" cm="1">
        <f t="array" ref="AB41">IFERROR(_xlfn._xlws.FILTER($Q$1:$Y$1,t_tp[[#This Row],[ahh]:[lev]]=LARGE(t_tp[[#This Row],[ahh]:[lev]],1)),"")</f>
        <v/>
      </c>
      <c r="AC41" s="34"/>
      <c r="AD41" s="34"/>
      <c r="AE41" s="34"/>
      <c r="AF41" s="34"/>
      <c r="AG41" s="34"/>
      <c r="AH41" s="34"/>
      <c r="AI41" s="34"/>
      <c r="AJ41" s="35"/>
      <c r="AK41" s="4"/>
      <c r="AL41" s="33" t="e">
        <f t="shared" si="0"/>
        <v>#REF!</v>
      </c>
      <c r="AM41" s="34" t="str" cm="1">
        <f t="array" ref="AM41">IFERROR(_xlfn._xlws.FILTER($Q$1:$Y$1,t_tp[[#This Row],[ahh]:[lev]]=SMALL(t_tp[[#This Row],[ahh]:[lev]],1)),"")</f>
        <v/>
      </c>
      <c r="AN41" s="34"/>
      <c r="AO41" s="34"/>
      <c r="AP41" s="34"/>
      <c r="AQ41" s="34"/>
      <c r="AR41" s="34"/>
      <c r="AS41" s="34"/>
      <c r="AT41" s="34"/>
      <c r="AU41" s="35"/>
    </row>
    <row r="42" spans="1:47" ht="13.5" thickTop="1" x14ac:dyDescent="0.2">
      <c r="A42">
        <v>41</v>
      </c>
      <c r="B42" s="5" t="e">
        <f>#REF!</f>
        <v>#REF!</v>
      </c>
      <c r="C42" t="e">
        <f>_xlfn.XLOOKUP(t_rang[[#This Row],[Dato]],#REF!,#REF!)</f>
        <v>#REF!</v>
      </c>
      <c r="D42" t="e">
        <f>_xlfn.XLOOKUP(t_rang[[#This Row],[Dato]],#REF!,#REF!)</f>
        <v>#REF!</v>
      </c>
      <c r="E42" t="e">
        <f>_xlfn.XLOOKUP(t_rang[[#This Row],[Dato]],#REF!,#REF!)</f>
        <v>#REF!</v>
      </c>
      <c r="F42" t="e">
        <f>_xlfn.XLOOKUP(t_rang[[#This Row],[Dato]],#REF!,#REF!)</f>
        <v>#REF!</v>
      </c>
      <c r="G42" t="e">
        <f>_xlfn.XLOOKUP(t_rang[[#This Row],[Dato]],#REF!,#REF!)</f>
        <v>#REF!</v>
      </c>
      <c r="H42" t="e">
        <f>_xlfn.XLOOKUP(t_rang[[#This Row],[Dato]],#REF!,#REF!)</f>
        <v>#REF!</v>
      </c>
      <c r="I42" t="e">
        <f>_xlfn.XLOOKUP(t_rang[[#This Row],[Dato]],#REF!,#REF!)</f>
        <v>#REF!</v>
      </c>
      <c r="J42" t="e">
        <f>_xlfn.XLOOKUP(t_rang[[#This Row],[Dato]],#REF!,#REF!)</f>
        <v>#REF!</v>
      </c>
      <c r="K42" s="20" t="e">
        <f>_xlfn.XLOOKUP(t_rang[[#This Row],[Dato]],#REF!,#REF!)</f>
        <v>#REF!</v>
      </c>
      <c r="L42" s="20"/>
      <c r="M42" s="20"/>
      <c r="N42" s="20"/>
      <c r="O42" s="15"/>
      <c r="P42" s="22" t="e">
        <f>#REF!</f>
        <v>#REF!</v>
      </c>
      <c r="Q42" s="14" t="e">
        <f>#REF!</f>
        <v>#REF!</v>
      </c>
      <c r="R42" s="14" t="e">
        <f>#REF!</f>
        <v>#REF!</v>
      </c>
      <c r="S42" s="14" t="e">
        <f>#REF!</f>
        <v>#REF!</v>
      </c>
      <c r="T42" s="14" t="e">
        <f>#REF!</f>
        <v>#REF!</v>
      </c>
      <c r="U42" s="14" t="e">
        <f>#REF!</f>
        <v>#REF!</v>
      </c>
      <c r="V42" s="14" t="e">
        <f>#REF!</f>
        <v>#REF!</v>
      </c>
      <c r="W42" s="14" t="e">
        <f>#REF!</f>
        <v>#REF!</v>
      </c>
      <c r="X42" s="14" t="e">
        <f>#REF!</f>
        <v>#REF!</v>
      </c>
      <c r="Y42" s="14" t="e">
        <f>#REF!</f>
        <v>#REF!</v>
      </c>
      <c r="AA42" s="36" t="e">
        <f>t_tp[[#This Row],[Dato]]</f>
        <v>#REF!</v>
      </c>
      <c r="AB42" s="37" t="str" cm="1">
        <f t="array" ref="AB42">IFERROR(_xlfn._xlws.FILTER($Q$1:$Y$1,t_tp[[#This Row],[ahh]:[lev]]=LARGE(t_tp[[#This Row],[ahh]:[lev]],1)),"")</f>
        <v/>
      </c>
      <c r="AC42" s="37"/>
      <c r="AD42" s="37"/>
      <c r="AE42" s="37"/>
      <c r="AF42" s="37"/>
      <c r="AG42" s="37"/>
      <c r="AH42" s="37"/>
      <c r="AI42" s="37"/>
      <c r="AJ42" s="38"/>
      <c r="AK42" s="4"/>
      <c r="AL42" s="36" t="e">
        <f t="shared" si="0"/>
        <v>#REF!</v>
      </c>
      <c r="AM42" s="37" t="str" cm="1">
        <f t="array" ref="AM42">IFERROR(_xlfn._xlws.FILTER($Q$1:$Y$1,t_tp[[#This Row],[ahh]:[lev]]=SMALL(t_tp[[#This Row],[ahh]:[lev]],1)),"")</f>
        <v/>
      </c>
      <c r="AN42" s="37"/>
      <c r="AO42" s="37"/>
      <c r="AP42" s="37"/>
      <c r="AQ42" s="37"/>
      <c r="AR42" s="37"/>
      <c r="AS42" s="37"/>
      <c r="AT42" s="37"/>
      <c r="AU42" s="38"/>
    </row>
    <row r="43" spans="1:47" x14ac:dyDescent="0.2">
      <c r="A43">
        <v>42</v>
      </c>
      <c r="R43" s="15"/>
    </row>
    <row r="44" spans="1:47" x14ac:dyDescent="0.2">
      <c r="A44">
        <v>43</v>
      </c>
      <c r="R44" s="15"/>
    </row>
    <row r="45" spans="1:47" x14ac:dyDescent="0.2">
      <c r="A45">
        <v>44</v>
      </c>
      <c r="R45" s="15"/>
    </row>
    <row r="46" spans="1:47" x14ac:dyDescent="0.2">
      <c r="A46">
        <v>45</v>
      </c>
      <c r="R46" s="15"/>
    </row>
    <row r="47" spans="1:47" x14ac:dyDescent="0.2">
      <c r="A47">
        <v>46</v>
      </c>
      <c r="R47" s="15"/>
    </row>
    <row r="48" spans="1:47" x14ac:dyDescent="0.2">
      <c r="A48">
        <v>47</v>
      </c>
      <c r="R48" s="15"/>
    </row>
    <row r="49" spans="1:18" x14ac:dyDescent="0.2">
      <c r="A49">
        <v>48</v>
      </c>
      <c r="R49" s="15"/>
    </row>
    <row r="50" spans="1:18" x14ac:dyDescent="0.2">
      <c r="A50">
        <v>49</v>
      </c>
      <c r="R50" s="15"/>
    </row>
    <row r="51" spans="1:18" x14ac:dyDescent="0.2">
      <c r="A51">
        <v>50</v>
      </c>
      <c r="R51" s="15"/>
    </row>
    <row r="52" spans="1:18" x14ac:dyDescent="0.2">
      <c r="A52">
        <v>51</v>
      </c>
      <c r="R52" s="15"/>
    </row>
    <row r="53" spans="1:18" x14ac:dyDescent="0.2">
      <c r="A53">
        <v>52</v>
      </c>
      <c r="R53" s="15"/>
    </row>
    <row r="54" spans="1:18" x14ac:dyDescent="0.2">
      <c r="A54">
        <v>53</v>
      </c>
      <c r="R54" s="5"/>
    </row>
    <row r="55" spans="1:18" x14ac:dyDescent="0.2">
      <c r="A55">
        <v>54</v>
      </c>
      <c r="R55" s="5"/>
    </row>
    <row r="56" spans="1:18" x14ac:dyDescent="0.2">
      <c r="A56">
        <v>55</v>
      </c>
    </row>
    <row r="57" spans="1:18" x14ac:dyDescent="0.2">
      <c r="A57">
        <v>56</v>
      </c>
    </row>
    <row r="58" spans="1:18" x14ac:dyDescent="0.2">
      <c r="A58">
        <v>57</v>
      </c>
    </row>
    <row r="59" spans="1:18" x14ac:dyDescent="0.2">
      <c r="A59">
        <v>58</v>
      </c>
    </row>
    <row r="60" spans="1:18" x14ac:dyDescent="0.2">
      <c r="A60">
        <v>59</v>
      </c>
    </row>
    <row r="61" spans="1:18" x14ac:dyDescent="0.2">
      <c r="A61">
        <v>60</v>
      </c>
    </row>
    <row r="62" spans="1:18" x14ac:dyDescent="0.2">
      <c r="A62">
        <v>61</v>
      </c>
    </row>
    <row r="63" spans="1:18" x14ac:dyDescent="0.2">
      <c r="A63">
        <v>62</v>
      </c>
    </row>
    <row r="64" spans="1:18" x14ac:dyDescent="0.2">
      <c r="A64">
        <v>63</v>
      </c>
    </row>
    <row r="65" spans="1:1" x14ac:dyDescent="0.2">
      <c r="A65">
        <v>64</v>
      </c>
    </row>
    <row r="66" spans="1:1" x14ac:dyDescent="0.2">
      <c r="A66">
        <v>65</v>
      </c>
    </row>
    <row r="67" spans="1:1" x14ac:dyDescent="0.2">
      <c r="A67">
        <v>66</v>
      </c>
    </row>
    <row r="68" spans="1:1" x14ac:dyDescent="0.2">
      <c r="A68">
        <v>67</v>
      </c>
    </row>
    <row r="69" spans="1:1" x14ac:dyDescent="0.2">
      <c r="A69">
        <v>68</v>
      </c>
    </row>
    <row r="70" spans="1:1" x14ac:dyDescent="0.2">
      <c r="A70">
        <v>69</v>
      </c>
    </row>
    <row r="71" spans="1:1" x14ac:dyDescent="0.2">
      <c r="A71">
        <v>70</v>
      </c>
    </row>
    <row r="72" spans="1:1" x14ac:dyDescent="0.2">
      <c r="A72">
        <v>71</v>
      </c>
    </row>
    <row r="73" spans="1:1" x14ac:dyDescent="0.2">
      <c r="A73">
        <v>72</v>
      </c>
    </row>
    <row r="74" spans="1:1" x14ac:dyDescent="0.2">
      <c r="A74">
        <v>73</v>
      </c>
    </row>
    <row r="75" spans="1:1" x14ac:dyDescent="0.2">
      <c r="A75">
        <v>74</v>
      </c>
    </row>
    <row r="76" spans="1:1" x14ac:dyDescent="0.2">
      <c r="A76">
        <v>75</v>
      </c>
    </row>
    <row r="77" spans="1:1" x14ac:dyDescent="0.2">
      <c r="A77">
        <v>76</v>
      </c>
    </row>
    <row r="78" spans="1:1" x14ac:dyDescent="0.2">
      <c r="A78">
        <v>77</v>
      </c>
    </row>
    <row r="79" spans="1:1" x14ac:dyDescent="0.2">
      <c r="A79">
        <v>78</v>
      </c>
    </row>
    <row r="80" spans="1:1" x14ac:dyDescent="0.2">
      <c r="A80">
        <v>79</v>
      </c>
    </row>
    <row r="81" spans="1:1" x14ac:dyDescent="0.2">
      <c r="A81">
        <v>80</v>
      </c>
    </row>
    <row r="82" spans="1:1" x14ac:dyDescent="0.2">
      <c r="A82">
        <v>81</v>
      </c>
    </row>
    <row r="83" spans="1:1" x14ac:dyDescent="0.2">
      <c r="A83">
        <v>82</v>
      </c>
    </row>
    <row r="84" spans="1:1" x14ac:dyDescent="0.2">
      <c r="A84">
        <v>83</v>
      </c>
    </row>
    <row r="85" spans="1:1" x14ac:dyDescent="0.2">
      <c r="A85">
        <v>84</v>
      </c>
    </row>
    <row r="86" spans="1:1" x14ac:dyDescent="0.2">
      <c r="A86">
        <v>85</v>
      </c>
    </row>
    <row r="87" spans="1:1" x14ac:dyDescent="0.2">
      <c r="A87">
        <v>86</v>
      </c>
    </row>
    <row r="88" spans="1:1" x14ac:dyDescent="0.2">
      <c r="A88">
        <v>87</v>
      </c>
    </row>
    <row r="89" spans="1:1" x14ac:dyDescent="0.2">
      <c r="A89">
        <v>88</v>
      </c>
    </row>
    <row r="90" spans="1:1" x14ac:dyDescent="0.2">
      <c r="A90">
        <v>89</v>
      </c>
    </row>
    <row r="91" spans="1:1" x14ac:dyDescent="0.2">
      <c r="A91">
        <v>90</v>
      </c>
    </row>
    <row r="92" spans="1:1" x14ac:dyDescent="0.2">
      <c r="A92">
        <v>91</v>
      </c>
    </row>
    <row r="93" spans="1:1" x14ac:dyDescent="0.2">
      <c r="A93">
        <v>92</v>
      </c>
    </row>
    <row r="94" spans="1:1" x14ac:dyDescent="0.2">
      <c r="A94">
        <v>93</v>
      </c>
    </row>
    <row r="95" spans="1:1" x14ac:dyDescent="0.2">
      <c r="A95">
        <v>94</v>
      </c>
    </row>
    <row r="96" spans="1:1" x14ac:dyDescent="0.2">
      <c r="A96">
        <v>95</v>
      </c>
    </row>
    <row r="97" spans="1:1" x14ac:dyDescent="0.2">
      <c r="A97">
        <v>96</v>
      </c>
    </row>
    <row r="98" spans="1:1" x14ac:dyDescent="0.2">
      <c r="A98">
        <v>97</v>
      </c>
    </row>
    <row r="99" spans="1:1" x14ac:dyDescent="0.2">
      <c r="A99">
        <v>98</v>
      </c>
    </row>
    <row r="100" spans="1:1" x14ac:dyDescent="0.2">
      <c r="A100">
        <v>99</v>
      </c>
    </row>
    <row r="101" spans="1:1" x14ac:dyDescent="0.2">
      <c r="A101">
        <v>100</v>
      </c>
    </row>
    <row r="102" spans="1:1" x14ac:dyDescent="0.2">
      <c r="A102">
        <v>101</v>
      </c>
    </row>
    <row r="103" spans="1:1" x14ac:dyDescent="0.2">
      <c r="A103">
        <v>102</v>
      </c>
    </row>
    <row r="104" spans="1:1" x14ac:dyDescent="0.2">
      <c r="A104">
        <v>103</v>
      </c>
    </row>
    <row r="105" spans="1:1" x14ac:dyDescent="0.2">
      <c r="A105">
        <v>104</v>
      </c>
    </row>
    <row r="106" spans="1:1" x14ac:dyDescent="0.2">
      <c r="A106">
        <v>105</v>
      </c>
    </row>
    <row r="107" spans="1:1" x14ac:dyDescent="0.2">
      <c r="A107">
        <v>106</v>
      </c>
    </row>
    <row r="108" spans="1:1" x14ac:dyDescent="0.2">
      <c r="A108">
        <v>107</v>
      </c>
    </row>
    <row r="109" spans="1:1" x14ac:dyDescent="0.2">
      <c r="A109">
        <v>108</v>
      </c>
    </row>
    <row r="110" spans="1:1" x14ac:dyDescent="0.2">
      <c r="A110">
        <v>109</v>
      </c>
    </row>
    <row r="111" spans="1:1" x14ac:dyDescent="0.2">
      <c r="A111">
        <v>110</v>
      </c>
    </row>
    <row r="112" spans="1:1" x14ac:dyDescent="0.2">
      <c r="A112">
        <v>111</v>
      </c>
    </row>
    <row r="113" spans="1:1" x14ac:dyDescent="0.2">
      <c r="A113">
        <v>112</v>
      </c>
    </row>
    <row r="114" spans="1:1" x14ac:dyDescent="0.2">
      <c r="A114">
        <v>113</v>
      </c>
    </row>
    <row r="115" spans="1:1" x14ac:dyDescent="0.2">
      <c r="A115">
        <v>114</v>
      </c>
    </row>
    <row r="116" spans="1:1" x14ac:dyDescent="0.2">
      <c r="A116">
        <v>115</v>
      </c>
    </row>
    <row r="117" spans="1:1" x14ac:dyDescent="0.2">
      <c r="A117">
        <v>116</v>
      </c>
    </row>
    <row r="118" spans="1:1" x14ac:dyDescent="0.2">
      <c r="A118">
        <v>117</v>
      </c>
    </row>
    <row r="119" spans="1:1" x14ac:dyDescent="0.2">
      <c r="A119">
        <v>118</v>
      </c>
    </row>
    <row r="120" spans="1:1" x14ac:dyDescent="0.2">
      <c r="A120">
        <v>119</v>
      </c>
    </row>
    <row r="121" spans="1:1" x14ac:dyDescent="0.2">
      <c r="A121">
        <v>120</v>
      </c>
    </row>
    <row r="122" spans="1:1" x14ac:dyDescent="0.2">
      <c r="A122">
        <v>121</v>
      </c>
    </row>
    <row r="123" spans="1:1" x14ac:dyDescent="0.2">
      <c r="A123">
        <v>122</v>
      </c>
    </row>
    <row r="124" spans="1:1" x14ac:dyDescent="0.2">
      <c r="A124">
        <v>123</v>
      </c>
    </row>
    <row r="125" spans="1:1" x14ac:dyDescent="0.2">
      <c r="A125">
        <v>124</v>
      </c>
    </row>
    <row r="126" spans="1:1" x14ac:dyDescent="0.2">
      <c r="A126">
        <v>125</v>
      </c>
    </row>
    <row r="127" spans="1:1" x14ac:dyDescent="0.2">
      <c r="A127">
        <v>126</v>
      </c>
    </row>
    <row r="128" spans="1:1" x14ac:dyDescent="0.2">
      <c r="A128">
        <v>127</v>
      </c>
    </row>
    <row r="129" spans="1:1" x14ac:dyDescent="0.2">
      <c r="A129">
        <v>128</v>
      </c>
    </row>
    <row r="130" spans="1:1" x14ac:dyDescent="0.2">
      <c r="A130">
        <v>129</v>
      </c>
    </row>
    <row r="131" spans="1:1" x14ac:dyDescent="0.2">
      <c r="A131">
        <v>130</v>
      </c>
    </row>
    <row r="132" spans="1:1" x14ac:dyDescent="0.2">
      <c r="A132">
        <v>131</v>
      </c>
    </row>
    <row r="133" spans="1:1" x14ac:dyDescent="0.2">
      <c r="A133">
        <v>132</v>
      </c>
    </row>
    <row r="134" spans="1:1" x14ac:dyDescent="0.2">
      <c r="A134">
        <v>133</v>
      </c>
    </row>
    <row r="135" spans="1:1" x14ac:dyDescent="0.2">
      <c r="A135">
        <v>134</v>
      </c>
    </row>
    <row r="136" spans="1:1" x14ac:dyDescent="0.2">
      <c r="A136">
        <v>135</v>
      </c>
    </row>
    <row r="137" spans="1:1" x14ac:dyDescent="0.2">
      <c r="A137">
        <v>136</v>
      </c>
    </row>
    <row r="138" spans="1:1" x14ac:dyDescent="0.2">
      <c r="A138">
        <v>137</v>
      </c>
    </row>
    <row r="139" spans="1:1" x14ac:dyDescent="0.2">
      <c r="A139">
        <v>138</v>
      </c>
    </row>
    <row r="140" spans="1:1" x14ac:dyDescent="0.2">
      <c r="A140">
        <v>139</v>
      </c>
    </row>
    <row r="141" spans="1:1" x14ac:dyDescent="0.2">
      <c r="A141">
        <v>140</v>
      </c>
    </row>
    <row r="142" spans="1:1" x14ac:dyDescent="0.2">
      <c r="A142">
        <v>141</v>
      </c>
    </row>
    <row r="143" spans="1:1" x14ac:dyDescent="0.2">
      <c r="A143">
        <v>142</v>
      </c>
    </row>
    <row r="144" spans="1:1" x14ac:dyDescent="0.2">
      <c r="A144">
        <v>143</v>
      </c>
    </row>
    <row r="145" spans="1:1" x14ac:dyDescent="0.2">
      <c r="A145">
        <v>144</v>
      </c>
    </row>
    <row r="146" spans="1:1" x14ac:dyDescent="0.2">
      <c r="A146">
        <v>145</v>
      </c>
    </row>
    <row r="147" spans="1:1" x14ac:dyDescent="0.2">
      <c r="A147">
        <v>146</v>
      </c>
    </row>
    <row r="148" spans="1:1" x14ac:dyDescent="0.2">
      <c r="A148">
        <v>147</v>
      </c>
    </row>
    <row r="149" spans="1:1" x14ac:dyDescent="0.2">
      <c r="A149">
        <v>148</v>
      </c>
    </row>
    <row r="150" spans="1:1" x14ac:dyDescent="0.2">
      <c r="A150">
        <v>149</v>
      </c>
    </row>
    <row r="151" spans="1:1" x14ac:dyDescent="0.2">
      <c r="A151">
        <v>150</v>
      </c>
    </row>
    <row r="152" spans="1:1" x14ac:dyDescent="0.2">
      <c r="A152">
        <v>151</v>
      </c>
    </row>
    <row r="153" spans="1:1" x14ac:dyDescent="0.2">
      <c r="A153">
        <v>152</v>
      </c>
    </row>
    <row r="154" spans="1:1" x14ac:dyDescent="0.2">
      <c r="A154">
        <v>153</v>
      </c>
    </row>
    <row r="155" spans="1:1" x14ac:dyDescent="0.2">
      <c r="A155">
        <v>154</v>
      </c>
    </row>
    <row r="156" spans="1:1" x14ac:dyDescent="0.2">
      <c r="A156">
        <v>155</v>
      </c>
    </row>
    <row r="157" spans="1:1" x14ac:dyDescent="0.2">
      <c r="A157">
        <v>156</v>
      </c>
    </row>
  </sheetData>
  <sheetProtection selectLockedCells="1" selectUnlockedCells="1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11E6F-8554-407A-84E2-2479A6491A50}">
  <sheetPr codeName="Ark14"/>
  <dimension ref="A1:P157"/>
  <sheetViews>
    <sheetView showGridLines="0" showZeros="0" zoomScaleNormal="100" workbookViewId="0">
      <pane ySplit="1" topLeftCell="A2" activePane="bottomLeft" state="frozen"/>
      <selection activeCell="AO1" sqref="AO1"/>
      <selection pane="bottomLeft"/>
    </sheetView>
  </sheetViews>
  <sheetFormatPr baseColWidth="10" defaultColWidth="11.42578125" defaultRowHeight="12.75" x14ac:dyDescent="0.2"/>
  <cols>
    <col min="1" max="1" width="11.5703125" customWidth="1"/>
    <col min="4" max="5" width="11.5703125" style="1"/>
    <col min="9" max="10" width="17.42578125" customWidth="1"/>
    <col min="11" max="11" width="11.42578125" style="13"/>
  </cols>
  <sheetData>
    <row r="1" spans="1:16" x14ac:dyDescent="0.2">
      <c r="A1" s="17" t="e">
        <f>#REF!</f>
        <v>#REF!</v>
      </c>
      <c r="B1" s="12"/>
      <c r="I1" t="s">
        <v>73</v>
      </c>
      <c r="K1" s="13" t="s">
        <v>74</v>
      </c>
      <c r="M1">
        <v>22</v>
      </c>
      <c r="O1" t="s">
        <v>75</v>
      </c>
      <c r="P1" t="s">
        <v>76</v>
      </c>
    </row>
    <row r="2" spans="1:16" x14ac:dyDescent="0.2">
      <c r="A2" s="5" t="e">
        <f>#REF!</f>
        <v>#REF!</v>
      </c>
      <c r="D2" s="11"/>
      <c r="H2" s="5" t="str">
        <f>IFERROR(IF(I2="","",#REF!),"")</f>
        <v/>
      </c>
      <c r="I2" t="e" cm="1">
        <f t="array" ref="I2">IF(#REF!="Karl-Arne Frantzen",#REF!,IF(#REF!="Øyvind Granberg",#REF!,IF(#REF!="Rune Bjermeland",#REF!,IF(#REF!="Endre Brekkhus",#REF!,IF(#REF!="Jim Holm",#REF!,IF(#REF!="Tor Olav Håker",#REF!,IF(#REF!="UTG",#REF!,IF(#REF!="Alf Henrik Håker",#REF!,IF(#REF!="Levert Rekke",#REF!)))))))))</f>
        <v>#REF!</v>
      </c>
      <c r="J2" s="5" t="str">
        <f>H2</f>
        <v/>
      </c>
      <c r="K2" s="142" t="e" cm="1">
        <f t="array" ref="K2">IF(#REF!="Karl-Arne Frantzen",#REF!,IF(#REF!="Øyvind Granberg",#REF!,IF(#REF!="Rune Bjermeland",#REF!,IF(#REF!="Endre Brekkhus",#REF!,IF(#REF!="Jim Holm",#REF!,IF(#REF!="Tor Olav Håker",#REF!,IF(#REF!="Alf Henrik Håker",#REF!,IF(#REF!="Levert rekke",#REF!,))))))))</f>
        <v>#REF!</v>
      </c>
      <c r="L2" t="e">
        <f>#REF!</f>
        <v>#REF!</v>
      </c>
      <c r="O2" t="e">
        <f>IFERROR(IF(I2="",#N/A,K2),#N/A)</f>
        <v>#N/A</v>
      </c>
      <c r="P2" t="e">
        <f>IFERROR(IF(I2="",#N/A,I2),#N/A)</f>
        <v>#N/A</v>
      </c>
    </row>
    <row r="3" spans="1:16" x14ac:dyDescent="0.2">
      <c r="A3" s="5" t="e">
        <f>#REF!</f>
        <v>#REF!</v>
      </c>
      <c r="B3" s="10" t="s">
        <v>77</v>
      </c>
      <c r="D3" s="11"/>
      <c r="H3" s="5" t="str">
        <f>IFERROR(IF(I3="","",#REF!),"")</f>
        <v/>
      </c>
      <c r="J3" s="5" t="str">
        <f t="shared" ref="J3:J66" si="0">H3</f>
        <v/>
      </c>
      <c r="L3" t="e">
        <f>L2+$M$1</f>
        <v>#REF!</v>
      </c>
      <c r="O3" t="e">
        <f t="shared" ref="O3:O42" si="1">IFERROR(IF(I3="",#N/A,K3),#N/A)</f>
        <v>#N/A</v>
      </c>
      <c r="P3" t="e">
        <f t="shared" ref="P3:P42" si="2">IFERROR(IF(I3="",#N/A,I3),#N/A)</f>
        <v>#N/A</v>
      </c>
    </row>
    <row r="4" spans="1:16" x14ac:dyDescent="0.2">
      <c r="A4" s="5" t="e">
        <f>#REF!</f>
        <v>#REF!</v>
      </c>
      <c r="B4" s="10" t="s">
        <v>54</v>
      </c>
      <c r="D4" s="11"/>
      <c r="H4" s="5" t="str">
        <f>IFERROR(IF(I4="","",#REF!),"")</f>
        <v/>
      </c>
      <c r="J4" s="5" t="str">
        <f t="shared" si="0"/>
        <v/>
      </c>
      <c r="L4" t="e">
        <f t="shared" ref="L4:L42" si="3">L3+$M$1</f>
        <v>#REF!</v>
      </c>
      <c r="O4" t="e">
        <f t="shared" si="1"/>
        <v>#N/A</v>
      </c>
      <c r="P4" t="e">
        <f t="shared" si="2"/>
        <v>#N/A</v>
      </c>
    </row>
    <row r="5" spans="1:16" x14ac:dyDescent="0.2">
      <c r="A5" s="5" t="e">
        <f>#REF!</f>
        <v>#REF!</v>
      </c>
      <c r="B5" s="10" t="s">
        <v>55</v>
      </c>
      <c r="D5" s="11"/>
      <c r="H5" s="5" t="str">
        <f>IFERROR(IF(I5="","",#REF!),"")</f>
        <v/>
      </c>
      <c r="J5" s="5" t="str">
        <f t="shared" si="0"/>
        <v/>
      </c>
      <c r="L5" t="e">
        <f t="shared" si="3"/>
        <v>#REF!</v>
      </c>
      <c r="O5" t="e">
        <f t="shared" si="1"/>
        <v>#N/A</v>
      </c>
      <c r="P5" t="e">
        <f t="shared" si="2"/>
        <v>#N/A</v>
      </c>
    </row>
    <row r="6" spans="1:16" x14ac:dyDescent="0.2">
      <c r="A6" s="5" t="e">
        <f>#REF!</f>
        <v>#REF!</v>
      </c>
      <c r="B6" s="10" t="s">
        <v>56</v>
      </c>
      <c r="D6" s="11"/>
      <c r="H6" s="5" t="str">
        <f>IFERROR(IF(I6="","",#REF!),"")</f>
        <v/>
      </c>
      <c r="J6" s="5" t="str">
        <f t="shared" si="0"/>
        <v/>
      </c>
      <c r="L6" t="e">
        <f t="shared" si="3"/>
        <v>#REF!</v>
      </c>
      <c r="O6" t="e">
        <f t="shared" si="1"/>
        <v>#N/A</v>
      </c>
      <c r="P6" t="e">
        <f t="shared" si="2"/>
        <v>#N/A</v>
      </c>
    </row>
    <row r="7" spans="1:16" x14ac:dyDescent="0.2">
      <c r="A7" s="5" t="e">
        <f>#REF!</f>
        <v>#REF!</v>
      </c>
      <c r="B7" s="10" t="s">
        <v>57</v>
      </c>
      <c r="D7" s="11"/>
      <c r="H7" s="5" t="str">
        <f>IFERROR(IF(I7="","",#REF!),"")</f>
        <v/>
      </c>
      <c r="J7" s="5" t="str">
        <f t="shared" si="0"/>
        <v/>
      </c>
      <c r="L7" t="e">
        <f t="shared" si="3"/>
        <v>#REF!</v>
      </c>
      <c r="O7" t="e">
        <f t="shared" si="1"/>
        <v>#N/A</v>
      </c>
      <c r="P7" t="e">
        <f t="shared" si="2"/>
        <v>#N/A</v>
      </c>
    </row>
    <row r="8" spans="1:16" x14ac:dyDescent="0.2">
      <c r="A8" s="5" t="e">
        <f>#REF!</f>
        <v>#REF!</v>
      </c>
      <c r="B8" s="10" t="s">
        <v>58</v>
      </c>
      <c r="D8" s="11"/>
      <c r="H8" s="5" t="str">
        <f>IFERROR(IF(I8="","",#REF!),"")</f>
        <v/>
      </c>
      <c r="J8" s="5" t="str">
        <f t="shared" si="0"/>
        <v/>
      </c>
      <c r="L8" t="e">
        <f t="shared" si="3"/>
        <v>#REF!</v>
      </c>
      <c r="O8" t="e">
        <f t="shared" si="1"/>
        <v>#N/A</v>
      </c>
      <c r="P8" t="e">
        <f t="shared" si="2"/>
        <v>#N/A</v>
      </c>
    </row>
    <row r="9" spans="1:16" x14ac:dyDescent="0.2">
      <c r="A9" s="5" t="e">
        <f>#REF!</f>
        <v>#REF!</v>
      </c>
      <c r="B9" s="10" t="s">
        <v>59</v>
      </c>
      <c r="D9" s="11"/>
      <c r="H9" s="5" t="str">
        <f>IFERROR(IF(I9="","",#REF!),"")</f>
        <v/>
      </c>
      <c r="J9" s="5" t="str">
        <f t="shared" si="0"/>
        <v/>
      </c>
      <c r="L9" t="e">
        <f t="shared" si="3"/>
        <v>#REF!</v>
      </c>
      <c r="O9" t="e">
        <f t="shared" si="1"/>
        <v>#N/A</v>
      </c>
      <c r="P9" t="e">
        <f t="shared" si="2"/>
        <v>#N/A</v>
      </c>
    </row>
    <row r="10" spans="1:16" x14ac:dyDescent="0.2">
      <c r="A10" s="5" t="e">
        <f>#REF!</f>
        <v>#REF!</v>
      </c>
      <c r="B10" s="10" t="s">
        <v>60</v>
      </c>
      <c r="D10" s="11"/>
      <c r="H10" s="5" t="str">
        <f>IFERROR(IF(I10="","",#REF!),"")</f>
        <v/>
      </c>
      <c r="J10" s="5" t="str">
        <f t="shared" si="0"/>
        <v/>
      </c>
      <c r="L10" t="e">
        <f t="shared" si="3"/>
        <v>#REF!</v>
      </c>
      <c r="O10" t="e">
        <f t="shared" si="1"/>
        <v>#N/A</v>
      </c>
      <c r="P10" t="e">
        <f t="shared" si="2"/>
        <v>#N/A</v>
      </c>
    </row>
    <row r="11" spans="1:16" x14ac:dyDescent="0.2">
      <c r="A11" s="5" t="e">
        <f>#REF!</f>
        <v>#REF!</v>
      </c>
      <c r="B11" s="10" t="s">
        <v>61</v>
      </c>
      <c r="D11" s="11"/>
      <c r="G11" s="3"/>
      <c r="H11" s="5" t="str">
        <f>IFERROR(IF(I11="","",#REF!),"")</f>
        <v/>
      </c>
      <c r="J11" s="5" t="str">
        <f t="shared" si="0"/>
        <v/>
      </c>
      <c r="L11" t="e">
        <f t="shared" si="3"/>
        <v>#REF!</v>
      </c>
      <c r="O11" t="e">
        <f t="shared" si="1"/>
        <v>#N/A</v>
      </c>
      <c r="P11" t="e">
        <f t="shared" si="2"/>
        <v>#N/A</v>
      </c>
    </row>
    <row r="12" spans="1:16" x14ac:dyDescent="0.2">
      <c r="A12" s="5" t="e">
        <f>#REF!</f>
        <v>#REF!</v>
      </c>
      <c r="B12" s="10" t="s">
        <v>62</v>
      </c>
      <c r="D12" s="11"/>
      <c r="H12" s="5" t="str">
        <f>IFERROR(IF(I12="","",#REF!),"")</f>
        <v/>
      </c>
      <c r="J12" s="5" t="str">
        <f t="shared" si="0"/>
        <v/>
      </c>
      <c r="L12" t="e">
        <f t="shared" si="3"/>
        <v>#REF!</v>
      </c>
      <c r="O12" t="e">
        <f t="shared" si="1"/>
        <v>#N/A</v>
      </c>
      <c r="P12" t="e">
        <f t="shared" si="2"/>
        <v>#N/A</v>
      </c>
    </row>
    <row r="13" spans="1:16" x14ac:dyDescent="0.2">
      <c r="A13" s="5" t="e">
        <f>#REF!</f>
        <v>#REF!</v>
      </c>
      <c r="D13" s="11"/>
      <c r="H13" s="5" t="str">
        <f>IFERROR(IF(I13="","",#REF!),"")</f>
        <v/>
      </c>
      <c r="J13" s="5" t="str">
        <f t="shared" si="0"/>
        <v/>
      </c>
      <c r="L13" t="e">
        <f t="shared" si="3"/>
        <v>#REF!</v>
      </c>
      <c r="O13" t="e">
        <f t="shared" si="1"/>
        <v>#N/A</v>
      </c>
      <c r="P13" t="e">
        <f t="shared" si="2"/>
        <v>#N/A</v>
      </c>
    </row>
    <row r="14" spans="1:16" x14ac:dyDescent="0.2">
      <c r="A14" s="5" t="e">
        <f>#REF!</f>
        <v>#REF!</v>
      </c>
      <c r="D14" s="11"/>
      <c r="H14" s="5" t="str">
        <f>IFERROR(IF(I14="","",#REF!),"")</f>
        <v/>
      </c>
      <c r="J14" s="5" t="str">
        <f t="shared" si="0"/>
        <v/>
      </c>
      <c r="L14" t="e">
        <f t="shared" si="3"/>
        <v>#REF!</v>
      </c>
      <c r="O14" t="e">
        <f t="shared" si="1"/>
        <v>#N/A</v>
      </c>
      <c r="P14" t="e">
        <f t="shared" si="2"/>
        <v>#N/A</v>
      </c>
    </row>
    <row r="15" spans="1:16" x14ac:dyDescent="0.2">
      <c r="A15" s="5" t="e">
        <f>#REF!</f>
        <v>#REF!</v>
      </c>
      <c r="D15" s="11"/>
      <c r="H15" s="5" t="str">
        <f>IFERROR(IF(I15="","",#REF!),"")</f>
        <v/>
      </c>
      <c r="J15" s="5" t="str">
        <f t="shared" si="0"/>
        <v/>
      </c>
      <c r="L15" t="e">
        <f t="shared" si="3"/>
        <v>#REF!</v>
      </c>
      <c r="O15" t="e">
        <f t="shared" si="1"/>
        <v>#N/A</v>
      </c>
      <c r="P15" t="e">
        <f t="shared" si="2"/>
        <v>#N/A</v>
      </c>
    </row>
    <row r="16" spans="1:16" x14ac:dyDescent="0.2">
      <c r="A16" s="5" t="e">
        <f>#REF!</f>
        <v>#REF!</v>
      </c>
      <c r="D16" s="11"/>
      <c r="H16" s="5" t="str">
        <f>IFERROR(IF(I16="","",#REF!),"")</f>
        <v/>
      </c>
      <c r="J16" s="5" t="str">
        <f t="shared" si="0"/>
        <v/>
      </c>
      <c r="L16" t="e">
        <f t="shared" si="3"/>
        <v>#REF!</v>
      </c>
      <c r="O16" t="e">
        <f t="shared" si="1"/>
        <v>#N/A</v>
      </c>
      <c r="P16" t="e">
        <f t="shared" si="2"/>
        <v>#N/A</v>
      </c>
    </row>
    <row r="17" spans="1:16" x14ac:dyDescent="0.2">
      <c r="A17" s="5" t="e">
        <f>#REF!</f>
        <v>#REF!</v>
      </c>
      <c r="D17" s="11"/>
      <c r="H17" s="5" t="str">
        <f>IFERROR(IF(I17="","",#REF!),"")</f>
        <v/>
      </c>
      <c r="J17" s="5" t="str">
        <f t="shared" si="0"/>
        <v/>
      </c>
      <c r="L17" t="e">
        <f t="shared" si="3"/>
        <v>#REF!</v>
      </c>
      <c r="O17" t="e">
        <f t="shared" si="1"/>
        <v>#N/A</v>
      </c>
      <c r="P17" t="e">
        <f t="shared" si="2"/>
        <v>#N/A</v>
      </c>
    </row>
    <row r="18" spans="1:16" x14ac:dyDescent="0.2">
      <c r="A18" s="5" t="e">
        <f>#REF!</f>
        <v>#REF!</v>
      </c>
      <c r="D18" s="11"/>
      <c r="H18" s="5" t="str">
        <f>IFERROR(IF(I18="","",#REF!),"")</f>
        <v/>
      </c>
      <c r="J18" s="5" t="str">
        <f t="shared" si="0"/>
        <v/>
      </c>
      <c r="L18" t="e">
        <f t="shared" si="3"/>
        <v>#REF!</v>
      </c>
      <c r="O18" t="e">
        <f t="shared" si="1"/>
        <v>#N/A</v>
      </c>
      <c r="P18" t="e">
        <f t="shared" si="2"/>
        <v>#N/A</v>
      </c>
    </row>
    <row r="19" spans="1:16" x14ac:dyDescent="0.2">
      <c r="A19" s="5" t="e">
        <f>#REF!</f>
        <v>#REF!</v>
      </c>
      <c r="D19" s="11"/>
      <c r="H19" s="5" t="str">
        <f>IFERROR(IF(I19="","",#REF!),"")</f>
        <v/>
      </c>
      <c r="J19" s="5" t="str">
        <f t="shared" si="0"/>
        <v/>
      </c>
      <c r="L19" t="e">
        <f t="shared" si="3"/>
        <v>#REF!</v>
      </c>
      <c r="O19" t="e">
        <f t="shared" si="1"/>
        <v>#N/A</v>
      </c>
      <c r="P19" t="e">
        <f t="shared" si="2"/>
        <v>#N/A</v>
      </c>
    </row>
    <row r="20" spans="1:16" x14ac:dyDescent="0.2">
      <c r="A20" s="5" t="e">
        <f>#REF!</f>
        <v>#REF!</v>
      </c>
      <c r="D20" s="11"/>
      <c r="H20" s="5" t="str">
        <f>IFERROR(IF(I20="","",#REF!),"")</f>
        <v/>
      </c>
      <c r="J20" s="5" t="str">
        <f t="shared" si="0"/>
        <v/>
      </c>
      <c r="L20" t="e">
        <f t="shared" si="3"/>
        <v>#REF!</v>
      </c>
      <c r="O20" t="e">
        <f t="shared" si="1"/>
        <v>#N/A</v>
      </c>
      <c r="P20" t="e">
        <f t="shared" si="2"/>
        <v>#N/A</v>
      </c>
    </row>
    <row r="21" spans="1:16" x14ac:dyDescent="0.2">
      <c r="A21" s="5" t="e">
        <f>#REF!</f>
        <v>#REF!</v>
      </c>
      <c r="D21" s="11"/>
      <c r="H21" s="5" t="str">
        <f>IFERROR(IF(I21="","",#REF!),"")</f>
        <v/>
      </c>
      <c r="J21" s="5" t="str">
        <f t="shared" si="0"/>
        <v/>
      </c>
      <c r="L21" t="e">
        <f t="shared" si="3"/>
        <v>#REF!</v>
      </c>
      <c r="O21" t="e">
        <f t="shared" si="1"/>
        <v>#N/A</v>
      </c>
      <c r="P21" t="e">
        <f t="shared" si="2"/>
        <v>#N/A</v>
      </c>
    </row>
    <row r="22" spans="1:16" x14ac:dyDescent="0.2">
      <c r="A22" s="5" t="e">
        <f>#REF!</f>
        <v>#REF!</v>
      </c>
      <c r="D22" s="11"/>
      <c r="H22" s="5" t="str">
        <f>IFERROR(IF(I22="","",#REF!),"")</f>
        <v/>
      </c>
      <c r="J22" s="5" t="str">
        <f t="shared" si="0"/>
        <v/>
      </c>
      <c r="L22" t="e">
        <f t="shared" si="3"/>
        <v>#REF!</v>
      </c>
      <c r="O22" t="e">
        <f t="shared" si="1"/>
        <v>#N/A</v>
      </c>
      <c r="P22" t="e">
        <f t="shared" si="2"/>
        <v>#N/A</v>
      </c>
    </row>
    <row r="23" spans="1:16" x14ac:dyDescent="0.2">
      <c r="A23" s="5" t="e">
        <f>#REF!</f>
        <v>#REF!</v>
      </c>
      <c r="D23" s="11"/>
      <c r="H23" s="5" t="str">
        <f>IFERROR(IF(I23="","",#REF!),"")</f>
        <v/>
      </c>
      <c r="J23" s="5" t="str">
        <f t="shared" si="0"/>
        <v/>
      </c>
      <c r="L23" t="e">
        <f t="shared" si="3"/>
        <v>#REF!</v>
      </c>
      <c r="O23" t="e">
        <f t="shared" si="1"/>
        <v>#N/A</v>
      </c>
      <c r="P23" t="e">
        <f t="shared" si="2"/>
        <v>#N/A</v>
      </c>
    </row>
    <row r="24" spans="1:16" x14ac:dyDescent="0.2">
      <c r="A24" s="5" t="e">
        <f>#REF!</f>
        <v>#REF!</v>
      </c>
      <c r="D24" s="11"/>
      <c r="H24" s="5" t="str">
        <f>IFERROR(IF(I24="","",#REF!),"")</f>
        <v/>
      </c>
      <c r="J24" s="5" t="str">
        <f t="shared" si="0"/>
        <v/>
      </c>
      <c r="L24" t="e">
        <f t="shared" si="3"/>
        <v>#REF!</v>
      </c>
      <c r="O24" t="e">
        <f t="shared" si="1"/>
        <v>#N/A</v>
      </c>
      <c r="P24" t="e">
        <f t="shared" si="2"/>
        <v>#N/A</v>
      </c>
    </row>
    <row r="25" spans="1:16" x14ac:dyDescent="0.2">
      <c r="A25" s="5" t="e">
        <f>#REF!</f>
        <v>#REF!</v>
      </c>
      <c r="D25" s="11"/>
      <c r="H25" s="5" t="str">
        <f>IFERROR(IF(I25="","",#REF!),"")</f>
        <v/>
      </c>
      <c r="J25" s="5" t="str">
        <f t="shared" si="0"/>
        <v/>
      </c>
      <c r="L25" t="e">
        <f t="shared" si="3"/>
        <v>#REF!</v>
      </c>
      <c r="O25" t="e">
        <f t="shared" si="1"/>
        <v>#N/A</v>
      </c>
      <c r="P25" t="e">
        <f t="shared" si="2"/>
        <v>#N/A</v>
      </c>
    </row>
    <row r="26" spans="1:16" x14ac:dyDescent="0.2">
      <c r="A26" s="5" t="e">
        <f>#REF!</f>
        <v>#REF!</v>
      </c>
      <c r="D26" s="11"/>
      <c r="H26" s="5" t="str">
        <f>IFERROR(IF(I26="","",#REF!),"")</f>
        <v/>
      </c>
      <c r="J26" s="5" t="str">
        <f t="shared" si="0"/>
        <v/>
      </c>
      <c r="L26" t="e">
        <f t="shared" si="3"/>
        <v>#REF!</v>
      </c>
      <c r="O26" t="e">
        <f t="shared" si="1"/>
        <v>#N/A</v>
      </c>
      <c r="P26" t="e">
        <f t="shared" si="2"/>
        <v>#N/A</v>
      </c>
    </row>
    <row r="27" spans="1:16" x14ac:dyDescent="0.2">
      <c r="A27" s="5" t="e">
        <f>#REF!</f>
        <v>#REF!</v>
      </c>
      <c r="D27" s="11"/>
      <c r="H27" s="5" t="str">
        <f>IFERROR(IF(I27="","",#REF!),"")</f>
        <v/>
      </c>
      <c r="J27" s="5" t="str">
        <f t="shared" si="0"/>
        <v/>
      </c>
      <c r="L27" t="e">
        <f t="shared" si="3"/>
        <v>#REF!</v>
      </c>
      <c r="O27" t="e">
        <f t="shared" si="1"/>
        <v>#N/A</v>
      </c>
      <c r="P27" t="e">
        <f t="shared" si="2"/>
        <v>#N/A</v>
      </c>
    </row>
    <row r="28" spans="1:16" x14ac:dyDescent="0.2">
      <c r="A28" s="5" t="e">
        <f>#REF!</f>
        <v>#REF!</v>
      </c>
      <c r="D28" s="11"/>
      <c r="H28" s="5" t="str">
        <f>IFERROR(IF(I28="","",#REF!),"")</f>
        <v/>
      </c>
      <c r="J28" s="5" t="str">
        <f t="shared" si="0"/>
        <v/>
      </c>
      <c r="L28" t="e">
        <f t="shared" si="3"/>
        <v>#REF!</v>
      </c>
      <c r="O28" t="e">
        <f t="shared" si="1"/>
        <v>#N/A</v>
      </c>
      <c r="P28" t="e">
        <f t="shared" si="2"/>
        <v>#N/A</v>
      </c>
    </row>
    <row r="29" spans="1:16" x14ac:dyDescent="0.2">
      <c r="A29" s="5" t="e">
        <f>#REF!</f>
        <v>#REF!</v>
      </c>
      <c r="D29" s="11"/>
      <c r="H29" s="5" t="str">
        <f>IFERROR(IF(I29="","",#REF!),"")</f>
        <v/>
      </c>
      <c r="J29" s="5" t="str">
        <f t="shared" si="0"/>
        <v/>
      </c>
      <c r="L29" t="e">
        <f t="shared" si="3"/>
        <v>#REF!</v>
      </c>
      <c r="O29" t="e">
        <f t="shared" si="1"/>
        <v>#N/A</v>
      </c>
      <c r="P29" t="e">
        <f t="shared" si="2"/>
        <v>#N/A</v>
      </c>
    </row>
    <row r="30" spans="1:16" x14ac:dyDescent="0.2">
      <c r="A30" s="5" t="e">
        <f>#REF!</f>
        <v>#REF!</v>
      </c>
      <c r="D30" s="11"/>
      <c r="H30" s="5" t="str">
        <f>IFERROR(IF(I30="","",#REF!),"")</f>
        <v/>
      </c>
      <c r="J30" s="5" t="str">
        <f t="shared" si="0"/>
        <v/>
      </c>
      <c r="L30" t="e">
        <f t="shared" si="3"/>
        <v>#REF!</v>
      </c>
      <c r="O30" t="e">
        <f t="shared" si="1"/>
        <v>#N/A</v>
      </c>
      <c r="P30" t="e">
        <f t="shared" si="2"/>
        <v>#N/A</v>
      </c>
    </row>
    <row r="31" spans="1:16" x14ac:dyDescent="0.2">
      <c r="A31" s="5" t="e">
        <f>#REF!</f>
        <v>#REF!</v>
      </c>
      <c r="D31" s="11"/>
      <c r="H31" s="5" t="str">
        <f>IFERROR(IF(I31="","",#REF!),"")</f>
        <v/>
      </c>
      <c r="J31" s="5" t="str">
        <f t="shared" si="0"/>
        <v/>
      </c>
      <c r="L31" t="e">
        <f t="shared" si="3"/>
        <v>#REF!</v>
      </c>
      <c r="O31" t="e">
        <f t="shared" si="1"/>
        <v>#N/A</v>
      </c>
      <c r="P31" t="e">
        <f t="shared" si="2"/>
        <v>#N/A</v>
      </c>
    </row>
    <row r="32" spans="1:16" x14ac:dyDescent="0.2">
      <c r="A32" s="5" t="e">
        <f>#REF!</f>
        <v>#REF!</v>
      </c>
      <c r="D32" s="11"/>
      <c r="H32" s="5" t="str">
        <f>IFERROR(IF(I32="","",#REF!),"")</f>
        <v/>
      </c>
      <c r="J32" s="5" t="str">
        <f t="shared" si="0"/>
        <v/>
      </c>
      <c r="L32" t="e">
        <f t="shared" si="3"/>
        <v>#REF!</v>
      </c>
      <c r="O32" t="e">
        <f t="shared" si="1"/>
        <v>#N/A</v>
      </c>
      <c r="P32" t="e">
        <f t="shared" si="2"/>
        <v>#N/A</v>
      </c>
    </row>
    <row r="33" spans="1:16" x14ac:dyDescent="0.2">
      <c r="A33" s="5" t="e">
        <f>#REF!</f>
        <v>#REF!</v>
      </c>
      <c r="D33" s="11"/>
      <c r="H33" s="5" t="str">
        <f>IFERROR(IF(I33="","",#REF!),"")</f>
        <v/>
      </c>
      <c r="J33" s="5" t="str">
        <f t="shared" si="0"/>
        <v/>
      </c>
      <c r="L33" t="e">
        <f t="shared" si="3"/>
        <v>#REF!</v>
      </c>
      <c r="O33" t="e">
        <f t="shared" si="1"/>
        <v>#N/A</v>
      </c>
      <c r="P33" t="e">
        <f t="shared" si="2"/>
        <v>#N/A</v>
      </c>
    </row>
    <row r="34" spans="1:16" x14ac:dyDescent="0.2">
      <c r="A34" s="5" t="e">
        <f>#REF!</f>
        <v>#REF!</v>
      </c>
      <c r="D34" s="11"/>
      <c r="H34" s="5" t="str">
        <f>IFERROR(IF(I34="","",#REF!),"")</f>
        <v/>
      </c>
      <c r="J34" s="5" t="str">
        <f t="shared" si="0"/>
        <v/>
      </c>
      <c r="L34" t="e">
        <f t="shared" si="3"/>
        <v>#REF!</v>
      </c>
      <c r="O34" t="e">
        <f t="shared" si="1"/>
        <v>#N/A</v>
      </c>
      <c r="P34" t="e">
        <f t="shared" si="2"/>
        <v>#N/A</v>
      </c>
    </row>
    <row r="35" spans="1:16" x14ac:dyDescent="0.2">
      <c r="A35" s="5" t="e">
        <f>#REF!</f>
        <v>#REF!</v>
      </c>
      <c r="D35" s="11"/>
      <c r="H35" s="5" t="str">
        <f>IFERROR(IF(I35="","",#REF!),"")</f>
        <v/>
      </c>
      <c r="J35" s="5" t="str">
        <f t="shared" si="0"/>
        <v/>
      </c>
      <c r="L35" t="e">
        <f t="shared" si="3"/>
        <v>#REF!</v>
      </c>
      <c r="O35" t="e">
        <f t="shared" si="1"/>
        <v>#N/A</v>
      </c>
      <c r="P35" t="e">
        <f t="shared" si="2"/>
        <v>#N/A</v>
      </c>
    </row>
    <row r="36" spans="1:16" x14ac:dyDescent="0.2">
      <c r="A36" s="5" t="e">
        <f>#REF!</f>
        <v>#REF!</v>
      </c>
      <c r="D36" s="11"/>
      <c r="H36" s="5" t="str">
        <f>IFERROR(IF(I36="","",#REF!),"")</f>
        <v/>
      </c>
      <c r="J36" s="5" t="str">
        <f t="shared" si="0"/>
        <v/>
      </c>
      <c r="L36" t="e">
        <f t="shared" si="3"/>
        <v>#REF!</v>
      </c>
      <c r="O36" t="e">
        <f t="shared" si="1"/>
        <v>#N/A</v>
      </c>
      <c r="P36" t="e">
        <f t="shared" si="2"/>
        <v>#N/A</v>
      </c>
    </row>
    <row r="37" spans="1:16" x14ac:dyDescent="0.2">
      <c r="A37" s="5" t="e">
        <f>#REF!</f>
        <v>#REF!</v>
      </c>
      <c r="D37" s="11"/>
      <c r="H37" s="5" t="str">
        <f>IFERROR(IF(I37="","",#REF!),"")</f>
        <v/>
      </c>
      <c r="J37" s="5" t="str">
        <f t="shared" si="0"/>
        <v/>
      </c>
      <c r="L37" t="e">
        <f t="shared" si="3"/>
        <v>#REF!</v>
      </c>
      <c r="O37" t="e">
        <f t="shared" si="1"/>
        <v>#N/A</v>
      </c>
      <c r="P37" t="e">
        <f t="shared" si="2"/>
        <v>#N/A</v>
      </c>
    </row>
    <row r="38" spans="1:16" x14ac:dyDescent="0.2">
      <c r="A38" s="5" t="e">
        <f>#REF!</f>
        <v>#REF!</v>
      </c>
      <c r="D38" s="11"/>
      <c r="H38" s="5" t="str">
        <f>IFERROR(IF(I38="","",#REF!),"")</f>
        <v/>
      </c>
      <c r="J38" s="5" t="str">
        <f t="shared" si="0"/>
        <v/>
      </c>
      <c r="L38" t="e">
        <f t="shared" si="3"/>
        <v>#REF!</v>
      </c>
      <c r="O38" t="e">
        <f t="shared" si="1"/>
        <v>#N/A</v>
      </c>
      <c r="P38" t="e">
        <f t="shared" si="2"/>
        <v>#N/A</v>
      </c>
    </row>
    <row r="39" spans="1:16" x14ac:dyDescent="0.2">
      <c r="A39" s="5" t="e">
        <f>#REF!</f>
        <v>#REF!</v>
      </c>
      <c r="D39" s="11"/>
      <c r="H39" s="5" t="str">
        <f>IFERROR(IF(I39="","",#REF!),"")</f>
        <v/>
      </c>
      <c r="J39" s="5" t="str">
        <f t="shared" si="0"/>
        <v/>
      </c>
      <c r="L39" t="e">
        <f t="shared" si="3"/>
        <v>#REF!</v>
      </c>
      <c r="O39" t="e">
        <f t="shared" si="1"/>
        <v>#N/A</v>
      </c>
      <c r="P39" t="e">
        <f t="shared" si="2"/>
        <v>#N/A</v>
      </c>
    </row>
    <row r="40" spans="1:16" x14ac:dyDescent="0.2">
      <c r="A40" s="5" t="e">
        <f>#REF!</f>
        <v>#REF!</v>
      </c>
      <c r="D40" s="11"/>
      <c r="H40" s="5" t="str">
        <f>IFERROR(IF(I40="","",#REF!),"")</f>
        <v/>
      </c>
      <c r="J40" s="5" t="str">
        <f t="shared" si="0"/>
        <v/>
      </c>
      <c r="L40" t="e">
        <f t="shared" si="3"/>
        <v>#REF!</v>
      </c>
      <c r="O40" t="e">
        <f t="shared" si="1"/>
        <v>#N/A</v>
      </c>
      <c r="P40" t="e">
        <f t="shared" si="2"/>
        <v>#N/A</v>
      </c>
    </row>
    <row r="41" spans="1:16" x14ac:dyDescent="0.2">
      <c r="A41" s="5" t="e">
        <f>#REF!</f>
        <v>#REF!</v>
      </c>
      <c r="D41" s="11"/>
      <c r="H41" s="5" t="str">
        <f>IFERROR(IF(I41="","",#REF!),"")</f>
        <v/>
      </c>
      <c r="J41" s="5" t="str">
        <f t="shared" si="0"/>
        <v/>
      </c>
      <c r="L41" t="e">
        <f t="shared" si="3"/>
        <v>#REF!</v>
      </c>
      <c r="O41" t="e">
        <f t="shared" si="1"/>
        <v>#N/A</v>
      </c>
      <c r="P41" t="e">
        <f t="shared" si="2"/>
        <v>#N/A</v>
      </c>
    </row>
    <row r="42" spans="1:16" x14ac:dyDescent="0.2">
      <c r="A42" s="5" t="e">
        <f>#REF!</f>
        <v>#REF!</v>
      </c>
      <c r="D42" s="11"/>
      <c r="H42" s="5" t="str">
        <f>IFERROR(IF(I42="","",#REF!),"")</f>
        <v/>
      </c>
      <c r="J42" s="5" t="str">
        <f t="shared" si="0"/>
        <v/>
      </c>
      <c r="L42" t="e">
        <f t="shared" si="3"/>
        <v>#REF!</v>
      </c>
      <c r="O42" t="e">
        <f t="shared" si="1"/>
        <v>#N/A</v>
      </c>
      <c r="P42" t="e">
        <f t="shared" si="2"/>
        <v>#N/A</v>
      </c>
    </row>
    <row r="43" spans="1:16" x14ac:dyDescent="0.2">
      <c r="D43" s="11"/>
      <c r="H43" s="5" t="str">
        <f>IFERROR(IF(I43="","",#REF!),"")</f>
        <v/>
      </c>
      <c r="J43" s="5" t="str">
        <f t="shared" si="0"/>
        <v/>
      </c>
    </row>
    <row r="44" spans="1:16" x14ac:dyDescent="0.2">
      <c r="D44" s="11"/>
      <c r="H44" s="5" t="str">
        <f>IFERROR(IF(I44="","",#REF!),"")</f>
        <v/>
      </c>
      <c r="J44" s="5" t="str">
        <f t="shared" si="0"/>
        <v/>
      </c>
    </row>
    <row r="45" spans="1:16" x14ac:dyDescent="0.2">
      <c r="D45" s="11"/>
      <c r="H45" s="5" t="str">
        <f>IFERROR(IF(I45="","",#REF!),"")</f>
        <v/>
      </c>
      <c r="J45" s="5" t="str">
        <f t="shared" si="0"/>
        <v/>
      </c>
    </row>
    <row r="46" spans="1:16" x14ac:dyDescent="0.2">
      <c r="D46" s="11"/>
      <c r="H46" s="5" t="str">
        <f>IFERROR(IF(I46="","",#REF!),"")</f>
        <v/>
      </c>
      <c r="J46" s="5" t="str">
        <f t="shared" si="0"/>
        <v/>
      </c>
    </row>
    <row r="47" spans="1:16" x14ac:dyDescent="0.2">
      <c r="D47" s="11"/>
      <c r="H47" s="5" t="str">
        <f>IFERROR(IF(I47="","",#REF!),"")</f>
        <v/>
      </c>
      <c r="J47" s="5" t="str">
        <f t="shared" si="0"/>
        <v/>
      </c>
    </row>
    <row r="48" spans="1:16" x14ac:dyDescent="0.2">
      <c r="D48" s="11"/>
      <c r="H48" s="5" t="str">
        <f>IFERROR(IF(I48="","",#REF!),"")</f>
        <v/>
      </c>
      <c r="J48" s="5" t="str">
        <f t="shared" si="0"/>
        <v/>
      </c>
    </row>
    <row r="49" spans="4:10" x14ac:dyDescent="0.2">
      <c r="D49" s="11"/>
      <c r="H49" s="5" t="str">
        <f>IFERROR(IF(I49="","",#REF!),"")</f>
        <v/>
      </c>
      <c r="J49" s="5" t="str">
        <f t="shared" si="0"/>
        <v/>
      </c>
    </row>
    <row r="50" spans="4:10" x14ac:dyDescent="0.2">
      <c r="D50" s="11"/>
      <c r="H50" s="5" t="str">
        <f>IFERROR(IF(I50="","",#REF!),"")</f>
        <v/>
      </c>
      <c r="J50" s="5" t="str">
        <f t="shared" si="0"/>
        <v/>
      </c>
    </row>
    <row r="51" spans="4:10" x14ac:dyDescent="0.2">
      <c r="D51" s="11"/>
      <c r="H51" s="5" t="str">
        <f>IFERROR(IF(I51="","",#REF!),"")</f>
        <v/>
      </c>
      <c r="J51" s="5" t="str">
        <f t="shared" si="0"/>
        <v/>
      </c>
    </row>
    <row r="52" spans="4:10" x14ac:dyDescent="0.2">
      <c r="D52" s="11"/>
      <c r="H52" s="5" t="str">
        <f>IFERROR(IF(I52="","",#REF!),"")</f>
        <v/>
      </c>
      <c r="J52" s="5" t="str">
        <f t="shared" si="0"/>
        <v/>
      </c>
    </row>
    <row r="53" spans="4:10" x14ac:dyDescent="0.2">
      <c r="D53" s="11"/>
      <c r="H53" s="5" t="str">
        <f>IFERROR(IF(I53="","",#REF!),"")</f>
        <v/>
      </c>
      <c r="J53" s="5" t="str">
        <f t="shared" si="0"/>
        <v/>
      </c>
    </row>
    <row r="54" spans="4:10" x14ac:dyDescent="0.2">
      <c r="H54" s="5" t="str">
        <f>IFERROR(IF(I54="","",#REF!),"")</f>
        <v/>
      </c>
      <c r="J54" s="5" t="str">
        <f t="shared" si="0"/>
        <v/>
      </c>
    </row>
    <row r="55" spans="4:10" x14ac:dyDescent="0.2">
      <c r="H55" s="5" t="str">
        <f>IFERROR(IF(I55="","",#REF!),"")</f>
        <v/>
      </c>
      <c r="J55" s="5" t="str">
        <f t="shared" si="0"/>
        <v/>
      </c>
    </row>
    <row r="56" spans="4:10" x14ac:dyDescent="0.2">
      <c r="H56" s="5" t="str">
        <f>IFERROR(IF(I56="","",#REF!),"")</f>
        <v/>
      </c>
      <c r="J56" s="5" t="str">
        <f t="shared" si="0"/>
        <v/>
      </c>
    </row>
    <row r="57" spans="4:10" x14ac:dyDescent="0.2">
      <c r="H57" s="5" t="str">
        <f>IFERROR(IF(I57="","",#REF!),"")</f>
        <v/>
      </c>
      <c r="J57" s="5" t="str">
        <f t="shared" si="0"/>
        <v/>
      </c>
    </row>
    <row r="58" spans="4:10" x14ac:dyDescent="0.2">
      <c r="H58" s="5" t="str">
        <f>IFERROR(IF(I58="","",#REF!),"")</f>
        <v/>
      </c>
      <c r="J58" s="5" t="str">
        <f t="shared" si="0"/>
        <v/>
      </c>
    </row>
    <row r="59" spans="4:10" x14ac:dyDescent="0.2">
      <c r="H59" s="5" t="str">
        <f>IFERROR(IF(I59="","",#REF!),"")</f>
        <v/>
      </c>
      <c r="J59" s="5" t="str">
        <f t="shared" si="0"/>
        <v/>
      </c>
    </row>
    <row r="60" spans="4:10" x14ac:dyDescent="0.2">
      <c r="H60" s="5" t="str">
        <f>IFERROR(IF(I60="","",#REF!),"")</f>
        <v/>
      </c>
      <c r="J60" s="5" t="str">
        <f t="shared" si="0"/>
        <v/>
      </c>
    </row>
    <row r="61" spans="4:10" x14ac:dyDescent="0.2">
      <c r="H61" s="5" t="str">
        <f>IFERROR(IF(I61="","",#REF!),"")</f>
        <v/>
      </c>
      <c r="J61" s="5" t="str">
        <f t="shared" si="0"/>
        <v/>
      </c>
    </row>
    <row r="62" spans="4:10" x14ac:dyDescent="0.2">
      <c r="H62" s="5" t="str">
        <f>IFERROR(IF(I62="","",#REF!),"")</f>
        <v/>
      </c>
      <c r="J62" s="5" t="str">
        <f t="shared" si="0"/>
        <v/>
      </c>
    </row>
    <row r="63" spans="4:10" x14ac:dyDescent="0.2">
      <c r="H63" s="5" t="str">
        <f>IFERROR(IF(I63="","",#REF!),"")</f>
        <v/>
      </c>
      <c r="J63" s="5" t="str">
        <f t="shared" si="0"/>
        <v/>
      </c>
    </row>
    <row r="64" spans="4:10" x14ac:dyDescent="0.2">
      <c r="H64" s="5" t="str">
        <f>IFERROR(IF(I64="","",#REF!),"")</f>
        <v/>
      </c>
      <c r="J64" s="5" t="str">
        <f t="shared" si="0"/>
        <v/>
      </c>
    </row>
    <row r="65" spans="8:10" x14ac:dyDescent="0.2">
      <c r="H65" s="5" t="str">
        <f>IFERROR(IF(I65="","",#REF!),"")</f>
        <v/>
      </c>
      <c r="J65" s="5" t="str">
        <f t="shared" si="0"/>
        <v/>
      </c>
    </row>
    <row r="66" spans="8:10" x14ac:dyDescent="0.2">
      <c r="H66" s="5" t="str">
        <f>IFERROR(IF(I66="","",#REF!),"")</f>
        <v/>
      </c>
      <c r="J66" s="5" t="str">
        <f t="shared" si="0"/>
        <v/>
      </c>
    </row>
    <row r="67" spans="8:10" x14ac:dyDescent="0.2">
      <c r="H67" s="5" t="str">
        <f>IFERROR(IF(I67="","",#REF!),"")</f>
        <v/>
      </c>
      <c r="J67" s="5" t="str">
        <f t="shared" ref="J67:J130" si="4">H67</f>
        <v/>
      </c>
    </row>
    <row r="68" spans="8:10" x14ac:dyDescent="0.2">
      <c r="H68" s="5" t="str">
        <f>IFERROR(IF(I68="","",#REF!),"")</f>
        <v/>
      </c>
      <c r="J68" s="5" t="str">
        <f t="shared" si="4"/>
        <v/>
      </c>
    </row>
    <row r="69" spans="8:10" x14ac:dyDescent="0.2">
      <c r="H69" s="5" t="str">
        <f>IFERROR(IF(I69="","",#REF!),"")</f>
        <v/>
      </c>
      <c r="J69" s="5" t="str">
        <f t="shared" si="4"/>
        <v/>
      </c>
    </row>
    <row r="70" spans="8:10" x14ac:dyDescent="0.2">
      <c r="H70" s="5" t="str">
        <f>IFERROR(IF(I70="","",#REF!),"")</f>
        <v/>
      </c>
      <c r="J70" s="5" t="str">
        <f t="shared" si="4"/>
        <v/>
      </c>
    </row>
    <row r="71" spans="8:10" x14ac:dyDescent="0.2">
      <c r="H71" s="5" t="str">
        <f>IFERROR(IF(I71="","",#REF!),"")</f>
        <v/>
      </c>
      <c r="J71" s="5" t="str">
        <f t="shared" si="4"/>
        <v/>
      </c>
    </row>
    <row r="72" spans="8:10" x14ac:dyDescent="0.2">
      <c r="H72" s="5" t="str">
        <f>IFERROR(IF(I72="","",#REF!),"")</f>
        <v/>
      </c>
      <c r="J72" s="5" t="str">
        <f t="shared" si="4"/>
        <v/>
      </c>
    </row>
    <row r="73" spans="8:10" x14ac:dyDescent="0.2">
      <c r="H73" s="5" t="str">
        <f>IFERROR(IF(I73="","",#REF!),"")</f>
        <v/>
      </c>
      <c r="J73" s="5" t="str">
        <f t="shared" si="4"/>
        <v/>
      </c>
    </row>
    <row r="74" spans="8:10" x14ac:dyDescent="0.2">
      <c r="H74" s="5" t="str">
        <f>IFERROR(IF(I74="","",#REF!),"")</f>
        <v/>
      </c>
      <c r="J74" s="5" t="str">
        <f t="shared" si="4"/>
        <v/>
      </c>
    </row>
    <row r="75" spans="8:10" x14ac:dyDescent="0.2">
      <c r="H75" s="5" t="str">
        <f>IFERROR(IF(I75="","",#REF!),"")</f>
        <v/>
      </c>
      <c r="J75" s="5" t="str">
        <f t="shared" si="4"/>
        <v/>
      </c>
    </row>
    <row r="76" spans="8:10" x14ac:dyDescent="0.2">
      <c r="H76" s="5" t="str">
        <f>IFERROR(IF(I76="","",#REF!),"")</f>
        <v/>
      </c>
      <c r="J76" s="5" t="str">
        <f t="shared" si="4"/>
        <v/>
      </c>
    </row>
    <row r="77" spans="8:10" x14ac:dyDescent="0.2">
      <c r="H77" s="5" t="str">
        <f>IFERROR(IF(I77="","",#REF!),"")</f>
        <v/>
      </c>
      <c r="J77" s="5" t="str">
        <f t="shared" si="4"/>
        <v/>
      </c>
    </row>
    <row r="78" spans="8:10" x14ac:dyDescent="0.2">
      <c r="H78" s="5" t="str">
        <f>IFERROR(IF(I78="","",#REF!),"")</f>
        <v/>
      </c>
      <c r="J78" s="5" t="str">
        <f t="shared" si="4"/>
        <v/>
      </c>
    </row>
    <row r="79" spans="8:10" x14ac:dyDescent="0.2">
      <c r="H79" s="5" t="str">
        <f>IFERROR(IF(I79="","",#REF!),"")</f>
        <v/>
      </c>
      <c r="J79" s="5" t="str">
        <f t="shared" si="4"/>
        <v/>
      </c>
    </row>
    <row r="80" spans="8:10" x14ac:dyDescent="0.2">
      <c r="H80" s="5" t="str">
        <f>IFERROR(IF(I80="","",#REF!),"")</f>
        <v/>
      </c>
      <c r="J80" s="5" t="str">
        <f t="shared" si="4"/>
        <v/>
      </c>
    </row>
    <row r="81" spans="8:10" x14ac:dyDescent="0.2">
      <c r="H81" s="5" t="str">
        <f>IFERROR(IF(I81="","",#REF!),"")</f>
        <v/>
      </c>
      <c r="J81" s="5" t="str">
        <f t="shared" si="4"/>
        <v/>
      </c>
    </row>
    <row r="82" spans="8:10" x14ac:dyDescent="0.2">
      <c r="H82" s="5" t="str">
        <f>IFERROR(IF(I82="","",#REF!),"")</f>
        <v/>
      </c>
      <c r="J82" s="5" t="str">
        <f t="shared" si="4"/>
        <v/>
      </c>
    </row>
    <row r="83" spans="8:10" x14ac:dyDescent="0.2">
      <c r="H83" s="5" t="str">
        <f>IFERROR(IF(I83="","",#REF!),"")</f>
        <v/>
      </c>
      <c r="J83" s="5" t="str">
        <f t="shared" si="4"/>
        <v/>
      </c>
    </row>
    <row r="84" spans="8:10" x14ac:dyDescent="0.2">
      <c r="H84" s="5" t="str">
        <f>IFERROR(IF(I84="","",#REF!),"")</f>
        <v/>
      </c>
      <c r="J84" s="5" t="str">
        <f t="shared" si="4"/>
        <v/>
      </c>
    </row>
    <row r="85" spans="8:10" x14ac:dyDescent="0.2">
      <c r="H85" s="5" t="str">
        <f>IFERROR(IF(I85="","",#REF!),"")</f>
        <v/>
      </c>
      <c r="J85" s="5" t="str">
        <f t="shared" si="4"/>
        <v/>
      </c>
    </row>
    <row r="86" spans="8:10" x14ac:dyDescent="0.2">
      <c r="H86" s="5" t="str">
        <f>IFERROR(IF(I86="","",#REF!),"")</f>
        <v/>
      </c>
      <c r="J86" s="5" t="str">
        <f t="shared" si="4"/>
        <v/>
      </c>
    </row>
    <row r="87" spans="8:10" x14ac:dyDescent="0.2">
      <c r="H87" s="5" t="str">
        <f>IFERROR(IF(I87="","",#REF!),"")</f>
        <v/>
      </c>
      <c r="J87" s="5" t="str">
        <f t="shared" si="4"/>
        <v/>
      </c>
    </row>
    <row r="88" spans="8:10" x14ac:dyDescent="0.2">
      <c r="H88" s="5" t="str">
        <f>IFERROR(IF(I88="","",#REF!),"")</f>
        <v/>
      </c>
      <c r="J88" s="5" t="str">
        <f t="shared" si="4"/>
        <v/>
      </c>
    </row>
    <row r="89" spans="8:10" x14ac:dyDescent="0.2">
      <c r="H89" s="5" t="str">
        <f>IFERROR(IF(I89="","",#REF!),"")</f>
        <v/>
      </c>
      <c r="J89" s="5" t="str">
        <f t="shared" si="4"/>
        <v/>
      </c>
    </row>
    <row r="90" spans="8:10" x14ac:dyDescent="0.2">
      <c r="H90" s="5" t="str">
        <f>IFERROR(IF(I90="","",#REF!),"")</f>
        <v/>
      </c>
      <c r="J90" s="5" t="str">
        <f t="shared" si="4"/>
        <v/>
      </c>
    </row>
    <row r="91" spans="8:10" x14ac:dyDescent="0.2">
      <c r="H91" s="5" t="str">
        <f>IFERROR(IF(I91="","",#REF!),"")</f>
        <v/>
      </c>
      <c r="J91" s="5" t="str">
        <f t="shared" si="4"/>
        <v/>
      </c>
    </row>
    <row r="92" spans="8:10" x14ac:dyDescent="0.2">
      <c r="H92" s="5" t="str">
        <f>IFERROR(IF(I92="","",#REF!),"")</f>
        <v/>
      </c>
      <c r="J92" s="5" t="str">
        <f t="shared" si="4"/>
        <v/>
      </c>
    </row>
    <row r="93" spans="8:10" x14ac:dyDescent="0.2">
      <c r="H93" s="5" t="str">
        <f>IFERROR(IF(I93="","",#REF!),"")</f>
        <v/>
      </c>
      <c r="J93" s="5" t="str">
        <f t="shared" si="4"/>
        <v/>
      </c>
    </row>
    <row r="94" spans="8:10" x14ac:dyDescent="0.2">
      <c r="H94" s="5" t="str">
        <f>IFERROR(IF(I94="","",#REF!),"")</f>
        <v/>
      </c>
      <c r="J94" s="5" t="str">
        <f t="shared" si="4"/>
        <v/>
      </c>
    </row>
    <row r="95" spans="8:10" x14ac:dyDescent="0.2">
      <c r="H95" s="5" t="str">
        <f>IFERROR(IF(I95="","",#REF!),"")</f>
        <v/>
      </c>
      <c r="J95" s="5" t="str">
        <f t="shared" si="4"/>
        <v/>
      </c>
    </row>
    <row r="96" spans="8:10" x14ac:dyDescent="0.2">
      <c r="H96" s="5" t="str">
        <f>IFERROR(IF(I96="","",#REF!),"")</f>
        <v/>
      </c>
      <c r="J96" s="5" t="str">
        <f t="shared" si="4"/>
        <v/>
      </c>
    </row>
    <row r="97" spans="8:10" x14ac:dyDescent="0.2">
      <c r="H97" s="5" t="str">
        <f>IFERROR(IF(I97="","",#REF!),"")</f>
        <v/>
      </c>
      <c r="J97" s="5" t="str">
        <f t="shared" si="4"/>
        <v/>
      </c>
    </row>
    <row r="98" spans="8:10" x14ac:dyDescent="0.2">
      <c r="H98" s="5" t="str">
        <f>IFERROR(IF(I98="","",#REF!),"")</f>
        <v/>
      </c>
      <c r="J98" s="5" t="str">
        <f t="shared" si="4"/>
        <v/>
      </c>
    </row>
    <row r="99" spans="8:10" x14ac:dyDescent="0.2">
      <c r="H99" s="5" t="str">
        <f>IFERROR(IF(I99="","",#REF!),"")</f>
        <v/>
      </c>
      <c r="J99" s="5" t="str">
        <f t="shared" si="4"/>
        <v/>
      </c>
    </row>
    <row r="100" spans="8:10" x14ac:dyDescent="0.2">
      <c r="H100" s="5" t="str">
        <f>IFERROR(IF(I100="","",#REF!),"")</f>
        <v/>
      </c>
      <c r="J100" s="5" t="str">
        <f t="shared" si="4"/>
        <v/>
      </c>
    </row>
    <row r="101" spans="8:10" x14ac:dyDescent="0.2">
      <c r="H101" s="5" t="str">
        <f>IFERROR(IF(I101="","",#REF!),"")</f>
        <v/>
      </c>
      <c r="J101" s="5" t="str">
        <f t="shared" si="4"/>
        <v/>
      </c>
    </row>
    <row r="102" spans="8:10" x14ac:dyDescent="0.2">
      <c r="H102" s="5" t="str">
        <f>IFERROR(IF(I102="","",#REF!),"")</f>
        <v/>
      </c>
      <c r="J102" s="5" t="str">
        <f t="shared" si="4"/>
        <v/>
      </c>
    </row>
    <row r="103" spans="8:10" x14ac:dyDescent="0.2">
      <c r="H103" s="5" t="str">
        <f>IFERROR(IF(I103="","",#REF!),"")</f>
        <v/>
      </c>
      <c r="J103" s="5" t="str">
        <f t="shared" si="4"/>
        <v/>
      </c>
    </row>
    <row r="104" spans="8:10" x14ac:dyDescent="0.2">
      <c r="H104" s="5" t="str">
        <f>IFERROR(IF(I104="","",#REF!),"")</f>
        <v/>
      </c>
      <c r="J104" s="5" t="str">
        <f t="shared" si="4"/>
        <v/>
      </c>
    </row>
    <row r="105" spans="8:10" x14ac:dyDescent="0.2">
      <c r="H105" s="5" t="str">
        <f>IFERROR(IF(I105="","",#REF!),"")</f>
        <v/>
      </c>
      <c r="J105" s="5" t="str">
        <f t="shared" si="4"/>
        <v/>
      </c>
    </row>
    <row r="106" spans="8:10" x14ac:dyDescent="0.2">
      <c r="H106" s="5" t="str">
        <f>IFERROR(IF(I106="","",#REF!),"")</f>
        <v/>
      </c>
      <c r="J106" s="5" t="str">
        <f t="shared" si="4"/>
        <v/>
      </c>
    </row>
    <row r="107" spans="8:10" x14ac:dyDescent="0.2">
      <c r="H107" s="5" t="str">
        <f>IFERROR(IF(I107="","",#REF!),"")</f>
        <v/>
      </c>
      <c r="J107" s="5" t="str">
        <f t="shared" si="4"/>
        <v/>
      </c>
    </row>
    <row r="108" spans="8:10" x14ac:dyDescent="0.2">
      <c r="H108" s="5" t="str">
        <f>IFERROR(IF(I108="","",#REF!),"")</f>
        <v/>
      </c>
      <c r="J108" s="5" t="str">
        <f t="shared" si="4"/>
        <v/>
      </c>
    </row>
    <row r="109" spans="8:10" x14ac:dyDescent="0.2">
      <c r="H109" s="5" t="str">
        <f>IFERROR(IF(I109="","",#REF!),"")</f>
        <v/>
      </c>
      <c r="J109" s="5" t="str">
        <f t="shared" si="4"/>
        <v/>
      </c>
    </row>
    <row r="110" spans="8:10" x14ac:dyDescent="0.2">
      <c r="H110" s="5" t="str">
        <f>IFERROR(IF(I110="","",#REF!),"")</f>
        <v/>
      </c>
      <c r="J110" s="5" t="str">
        <f t="shared" si="4"/>
        <v/>
      </c>
    </row>
    <row r="111" spans="8:10" x14ac:dyDescent="0.2">
      <c r="H111" s="5" t="str">
        <f>IFERROR(IF(I111="","",#REF!),"")</f>
        <v/>
      </c>
      <c r="J111" s="5" t="str">
        <f t="shared" si="4"/>
        <v/>
      </c>
    </row>
    <row r="112" spans="8:10" x14ac:dyDescent="0.2">
      <c r="H112" s="5" t="str">
        <f>IFERROR(IF(I112="","",#REF!),"")</f>
        <v/>
      </c>
      <c r="J112" s="5" t="str">
        <f t="shared" si="4"/>
        <v/>
      </c>
    </row>
    <row r="113" spans="8:10" x14ac:dyDescent="0.2">
      <c r="H113" s="5" t="str">
        <f>IFERROR(IF(I113="","",#REF!),"")</f>
        <v/>
      </c>
      <c r="J113" s="5" t="str">
        <f t="shared" si="4"/>
        <v/>
      </c>
    </row>
    <row r="114" spans="8:10" x14ac:dyDescent="0.2">
      <c r="H114" s="5" t="str">
        <f>IFERROR(IF(I114="","",#REF!),"")</f>
        <v/>
      </c>
      <c r="J114" s="5" t="str">
        <f t="shared" si="4"/>
        <v/>
      </c>
    </row>
    <row r="115" spans="8:10" x14ac:dyDescent="0.2">
      <c r="H115" s="5" t="str">
        <f>IFERROR(IF(I115="","",#REF!),"")</f>
        <v/>
      </c>
      <c r="J115" s="5" t="str">
        <f t="shared" si="4"/>
        <v/>
      </c>
    </row>
    <row r="116" spans="8:10" x14ac:dyDescent="0.2">
      <c r="H116" s="5" t="str">
        <f>IFERROR(IF(I116="","",#REF!),"")</f>
        <v/>
      </c>
      <c r="J116" s="5" t="str">
        <f t="shared" si="4"/>
        <v/>
      </c>
    </row>
    <row r="117" spans="8:10" x14ac:dyDescent="0.2">
      <c r="H117" s="5" t="str">
        <f>IFERROR(IF(I117="","",#REF!),"")</f>
        <v/>
      </c>
      <c r="J117" s="5" t="str">
        <f t="shared" si="4"/>
        <v/>
      </c>
    </row>
    <row r="118" spans="8:10" x14ac:dyDescent="0.2">
      <c r="H118" s="5" t="str">
        <f>IFERROR(IF(I118="","",#REF!),"")</f>
        <v/>
      </c>
      <c r="J118" s="5" t="str">
        <f t="shared" si="4"/>
        <v/>
      </c>
    </row>
    <row r="119" spans="8:10" x14ac:dyDescent="0.2">
      <c r="H119" s="5" t="str">
        <f>IFERROR(IF(I119="","",#REF!),"")</f>
        <v/>
      </c>
      <c r="J119" s="5" t="str">
        <f t="shared" si="4"/>
        <v/>
      </c>
    </row>
    <row r="120" spans="8:10" x14ac:dyDescent="0.2">
      <c r="H120" s="5" t="str">
        <f>IFERROR(IF(I120="","",#REF!),"")</f>
        <v/>
      </c>
      <c r="J120" s="5" t="str">
        <f t="shared" si="4"/>
        <v/>
      </c>
    </row>
    <row r="121" spans="8:10" x14ac:dyDescent="0.2">
      <c r="H121" s="5" t="str">
        <f>IFERROR(IF(I121="","",#REF!),"")</f>
        <v/>
      </c>
      <c r="J121" s="5" t="str">
        <f t="shared" si="4"/>
        <v/>
      </c>
    </row>
    <row r="122" spans="8:10" x14ac:dyDescent="0.2">
      <c r="H122" s="5" t="str">
        <f>IFERROR(IF(I122="","",#REF!),"")</f>
        <v/>
      </c>
      <c r="J122" s="5" t="str">
        <f t="shared" si="4"/>
        <v/>
      </c>
    </row>
    <row r="123" spans="8:10" x14ac:dyDescent="0.2">
      <c r="H123" s="5" t="str">
        <f>IFERROR(IF(I123="","",#REF!),"")</f>
        <v/>
      </c>
      <c r="J123" s="5" t="str">
        <f t="shared" si="4"/>
        <v/>
      </c>
    </row>
    <row r="124" spans="8:10" x14ac:dyDescent="0.2">
      <c r="H124" s="5" t="str">
        <f>IFERROR(IF(I124="","",#REF!),"")</f>
        <v/>
      </c>
      <c r="J124" s="5" t="str">
        <f t="shared" si="4"/>
        <v/>
      </c>
    </row>
    <row r="125" spans="8:10" x14ac:dyDescent="0.2">
      <c r="H125" s="5" t="str">
        <f>IFERROR(IF(I125="","",#REF!),"")</f>
        <v/>
      </c>
      <c r="J125" s="5" t="str">
        <f t="shared" si="4"/>
        <v/>
      </c>
    </row>
    <row r="126" spans="8:10" x14ac:dyDescent="0.2">
      <c r="H126" s="5" t="str">
        <f>IFERROR(IF(I126="","",#REF!),"")</f>
        <v/>
      </c>
      <c r="J126" s="5" t="str">
        <f t="shared" si="4"/>
        <v/>
      </c>
    </row>
    <row r="127" spans="8:10" x14ac:dyDescent="0.2">
      <c r="H127" s="5" t="str">
        <f>IFERROR(IF(I127="","",#REF!),"")</f>
        <v/>
      </c>
      <c r="J127" s="5" t="str">
        <f t="shared" si="4"/>
        <v/>
      </c>
    </row>
    <row r="128" spans="8:10" x14ac:dyDescent="0.2">
      <c r="H128" s="5" t="str">
        <f>IFERROR(IF(I128="","",#REF!),"")</f>
        <v/>
      </c>
      <c r="J128" s="5" t="str">
        <f t="shared" si="4"/>
        <v/>
      </c>
    </row>
    <row r="129" spans="8:10" x14ac:dyDescent="0.2">
      <c r="H129" s="5" t="str">
        <f>IFERROR(IF(I129="","",#REF!),"")</f>
        <v/>
      </c>
      <c r="J129" s="5" t="str">
        <f t="shared" si="4"/>
        <v/>
      </c>
    </row>
    <row r="130" spans="8:10" x14ac:dyDescent="0.2">
      <c r="H130" s="5" t="str">
        <f>IFERROR(IF(I130="","",#REF!),"")</f>
        <v/>
      </c>
      <c r="J130" s="5" t="str">
        <f t="shared" si="4"/>
        <v/>
      </c>
    </row>
    <row r="131" spans="8:10" x14ac:dyDescent="0.2">
      <c r="H131" s="5" t="str">
        <f>IFERROR(IF(I131="","",#REF!),"")</f>
        <v/>
      </c>
      <c r="J131" s="5" t="str">
        <f t="shared" ref="J131:J157" si="5">H131</f>
        <v/>
      </c>
    </row>
    <row r="132" spans="8:10" x14ac:dyDescent="0.2">
      <c r="H132" s="5" t="str">
        <f>IFERROR(IF(I132="","",#REF!),"")</f>
        <v/>
      </c>
      <c r="J132" s="5" t="str">
        <f t="shared" si="5"/>
        <v/>
      </c>
    </row>
    <row r="133" spans="8:10" x14ac:dyDescent="0.2">
      <c r="H133" s="5" t="str">
        <f>IFERROR(IF(I133="","",#REF!),"")</f>
        <v/>
      </c>
      <c r="J133" s="5" t="str">
        <f t="shared" si="5"/>
        <v/>
      </c>
    </row>
    <row r="134" spans="8:10" x14ac:dyDescent="0.2">
      <c r="H134" s="5" t="str">
        <f>IFERROR(IF(I134="","",#REF!),"")</f>
        <v/>
      </c>
      <c r="J134" s="5" t="str">
        <f t="shared" si="5"/>
        <v/>
      </c>
    </row>
    <row r="135" spans="8:10" x14ac:dyDescent="0.2">
      <c r="H135" s="5" t="str">
        <f>IFERROR(IF(I135="","",#REF!),"")</f>
        <v/>
      </c>
      <c r="J135" s="5" t="str">
        <f t="shared" si="5"/>
        <v/>
      </c>
    </row>
    <row r="136" spans="8:10" x14ac:dyDescent="0.2">
      <c r="H136" s="5" t="str">
        <f>IFERROR(IF(I136="","",#REF!),"")</f>
        <v/>
      </c>
      <c r="J136" s="5" t="str">
        <f t="shared" si="5"/>
        <v/>
      </c>
    </row>
    <row r="137" spans="8:10" x14ac:dyDescent="0.2">
      <c r="H137" s="5" t="str">
        <f>IFERROR(IF(I137="","",#REF!),"")</f>
        <v/>
      </c>
      <c r="J137" s="5" t="str">
        <f t="shared" si="5"/>
        <v/>
      </c>
    </row>
    <row r="138" spans="8:10" x14ac:dyDescent="0.2">
      <c r="H138" s="5" t="str">
        <f>IFERROR(IF(I138="","",#REF!),"")</f>
        <v/>
      </c>
      <c r="J138" s="5" t="str">
        <f t="shared" si="5"/>
        <v/>
      </c>
    </row>
    <row r="139" spans="8:10" x14ac:dyDescent="0.2">
      <c r="H139" s="5" t="str">
        <f>IFERROR(IF(I139="","",#REF!),"")</f>
        <v/>
      </c>
      <c r="J139" s="5" t="str">
        <f t="shared" si="5"/>
        <v/>
      </c>
    </row>
    <row r="140" spans="8:10" x14ac:dyDescent="0.2">
      <c r="H140" s="5" t="str">
        <f>IFERROR(IF(I140="","",#REF!),"")</f>
        <v/>
      </c>
      <c r="J140" s="5" t="str">
        <f t="shared" si="5"/>
        <v/>
      </c>
    </row>
    <row r="141" spans="8:10" x14ac:dyDescent="0.2">
      <c r="H141" s="5" t="str">
        <f>IFERROR(IF(I141="","",#REF!),"")</f>
        <v/>
      </c>
      <c r="J141" s="5" t="str">
        <f t="shared" si="5"/>
        <v/>
      </c>
    </row>
    <row r="142" spans="8:10" x14ac:dyDescent="0.2">
      <c r="H142" s="5" t="str">
        <f>IFERROR(IF(I142="","",#REF!),"")</f>
        <v/>
      </c>
      <c r="J142" s="5" t="str">
        <f t="shared" si="5"/>
        <v/>
      </c>
    </row>
    <row r="143" spans="8:10" x14ac:dyDescent="0.2">
      <c r="H143" s="5" t="str">
        <f>IFERROR(IF(I143="","",#REF!),"")</f>
        <v/>
      </c>
      <c r="J143" s="5" t="str">
        <f t="shared" si="5"/>
        <v/>
      </c>
    </row>
    <row r="144" spans="8:10" x14ac:dyDescent="0.2">
      <c r="H144" s="5" t="str">
        <f>IFERROR(IF(I144="","",#REF!),"")</f>
        <v/>
      </c>
      <c r="J144" s="5" t="str">
        <f t="shared" si="5"/>
        <v/>
      </c>
    </row>
    <row r="145" spans="8:10" x14ac:dyDescent="0.2">
      <c r="H145" s="5" t="str">
        <f>IFERROR(IF(I145="","",#REF!),"")</f>
        <v/>
      </c>
      <c r="J145" s="5" t="str">
        <f t="shared" si="5"/>
        <v/>
      </c>
    </row>
    <row r="146" spans="8:10" x14ac:dyDescent="0.2">
      <c r="H146" s="5" t="str">
        <f>IFERROR(IF(I146="","",#REF!),"")</f>
        <v/>
      </c>
      <c r="J146" s="5" t="str">
        <f t="shared" si="5"/>
        <v/>
      </c>
    </row>
    <row r="147" spans="8:10" x14ac:dyDescent="0.2">
      <c r="H147" s="5" t="str">
        <f>IFERROR(IF(I147="","",#REF!),"")</f>
        <v/>
      </c>
      <c r="J147" s="5" t="str">
        <f t="shared" si="5"/>
        <v/>
      </c>
    </row>
    <row r="148" spans="8:10" x14ac:dyDescent="0.2">
      <c r="H148" s="5" t="str">
        <f>IFERROR(IF(I148="","",#REF!),"")</f>
        <v/>
      </c>
      <c r="J148" s="5" t="str">
        <f t="shared" si="5"/>
        <v/>
      </c>
    </row>
    <row r="149" spans="8:10" x14ac:dyDescent="0.2">
      <c r="H149" s="5" t="str">
        <f>IFERROR(IF(I149="","",#REF!),"")</f>
        <v/>
      </c>
      <c r="J149" s="5" t="str">
        <f t="shared" si="5"/>
        <v/>
      </c>
    </row>
    <row r="150" spans="8:10" x14ac:dyDescent="0.2">
      <c r="H150" s="5" t="str">
        <f>IFERROR(IF(I150="","",#REF!),"")</f>
        <v/>
      </c>
      <c r="J150" s="5" t="str">
        <f t="shared" si="5"/>
        <v/>
      </c>
    </row>
    <row r="151" spans="8:10" x14ac:dyDescent="0.2">
      <c r="H151" s="5" t="str">
        <f>IFERROR(IF(I151="","",#REF!),"")</f>
        <v/>
      </c>
      <c r="J151" s="5" t="str">
        <f t="shared" si="5"/>
        <v/>
      </c>
    </row>
    <row r="152" spans="8:10" x14ac:dyDescent="0.2">
      <c r="H152" s="5" t="str">
        <f>IFERROR(IF(I152="","",#REF!),"")</f>
        <v/>
      </c>
      <c r="J152" s="5" t="str">
        <f t="shared" si="5"/>
        <v/>
      </c>
    </row>
    <row r="153" spans="8:10" x14ac:dyDescent="0.2">
      <c r="H153" s="5" t="str">
        <f>IFERROR(IF(I153="","",#REF!),"")</f>
        <v/>
      </c>
      <c r="J153" s="5" t="str">
        <f t="shared" si="5"/>
        <v/>
      </c>
    </row>
    <row r="154" spans="8:10" x14ac:dyDescent="0.2">
      <c r="H154" s="5" t="str">
        <f>IFERROR(IF(I154="","",#REF!),"")</f>
        <v/>
      </c>
      <c r="J154" s="5" t="str">
        <f t="shared" si="5"/>
        <v/>
      </c>
    </row>
    <row r="155" spans="8:10" x14ac:dyDescent="0.2">
      <c r="H155" s="5" t="str">
        <f>IFERROR(IF(I155="","",#REF!),"")</f>
        <v/>
      </c>
      <c r="J155" s="5" t="str">
        <f t="shared" si="5"/>
        <v/>
      </c>
    </row>
    <row r="156" spans="8:10" x14ac:dyDescent="0.2">
      <c r="H156" s="5" t="str">
        <f>IFERROR(IF(I156="","",#REF!),"")</f>
        <v/>
      </c>
      <c r="J156" s="5" t="str">
        <f t="shared" si="5"/>
        <v/>
      </c>
    </row>
    <row r="157" spans="8:10" x14ac:dyDescent="0.2">
      <c r="H157" s="5" t="str">
        <f>IFERROR(IF(I157="","",#REF!),"")</f>
        <v/>
      </c>
      <c r="J157" s="5" t="str">
        <f t="shared" si="5"/>
        <v/>
      </c>
    </row>
  </sheetData>
  <autoFilter ref="O1:P42" xr:uid="{3EA11E6F-8554-407A-84E2-2479A6491A50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12F2A-7D7D-4514-937D-8FAAB5F89364}">
  <sheetPr codeName="Ark6"/>
  <dimension ref="C3:BI38"/>
  <sheetViews>
    <sheetView showGridLines="0" topLeftCell="M7" zoomScale="130" zoomScaleNormal="130" workbookViewId="0">
      <selection activeCell="AO1" sqref="AO1"/>
    </sheetView>
  </sheetViews>
  <sheetFormatPr baseColWidth="10" defaultColWidth="11.42578125" defaultRowHeight="12.75" x14ac:dyDescent="0.2"/>
  <sheetData>
    <row r="3" spans="3:61" x14ac:dyDescent="0.2">
      <c r="C3" t="e">
        <f>#REF!</f>
        <v>#REF!</v>
      </c>
      <c r="N3" t="s">
        <v>78</v>
      </c>
      <c r="Q3" t="s">
        <v>79</v>
      </c>
      <c r="T3" t="s">
        <v>80</v>
      </c>
      <c r="W3" t="s">
        <v>81</v>
      </c>
      <c r="Z3" t="s">
        <v>82</v>
      </c>
      <c r="AC3" t="s">
        <v>83</v>
      </c>
      <c r="AG3" t="s">
        <v>84</v>
      </c>
      <c r="AJ3" t="s">
        <v>85</v>
      </c>
      <c r="AM3" t="s">
        <v>86</v>
      </c>
      <c r="AP3" t="s">
        <v>87</v>
      </c>
      <c r="AS3" t="s">
        <v>88</v>
      </c>
      <c r="AV3" t="s">
        <v>89</v>
      </c>
      <c r="AY3" t="s">
        <v>90</v>
      </c>
      <c r="BB3" t="s">
        <v>91</v>
      </c>
      <c r="BE3" t="s">
        <v>92</v>
      </c>
      <c r="BH3" t="s">
        <v>93</v>
      </c>
    </row>
    <row r="4" spans="3:61" x14ac:dyDescent="0.2">
      <c r="N4" t="s">
        <v>21</v>
      </c>
      <c r="O4">
        <v>670</v>
      </c>
      <c r="Q4" t="s">
        <v>21</v>
      </c>
      <c r="R4">
        <v>640</v>
      </c>
      <c r="T4" t="s">
        <v>21</v>
      </c>
      <c r="U4">
        <v>590</v>
      </c>
      <c r="W4" t="s">
        <v>21</v>
      </c>
      <c r="X4">
        <v>686</v>
      </c>
      <c r="Z4" t="s">
        <v>24</v>
      </c>
      <c r="AA4">
        <v>553</v>
      </c>
      <c r="AC4" t="s">
        <v>24</v>
      </c>
      <c r="AD4">
        <v>754</v>
      </c>
      <c r="AG4" t="s">
        <v>20</v>
      </c>
      <c r="AH4">
        <v>969</v>
      </c>
      <c r="AJ4" t="s">
        <v>19</v>
      </c>
      <c r="AK4">
        <v>734</v>
      </c>
      <c r="AM4" t="s">
        <v>23</v>
      </c>
      <c r="AN4">
        <v>639</v>
      </c>
      <c r="AP4" t="s">
        <v>24</v>
      </c>
      <c r="AQ4">
        <v>618</v>
      </c>
      <c r="AS4" t="s">
        <v>25</v>
      </c>
      <c r="AT4">
        <v>661</v>
      </c>
      <c r="AV4" t="s">
        <v>19</v>
      </c>
      <c r="AW4">
        <v>644</v>
      </c>
      <c r="AY4" t="s">
        <v>22</v>
      </c>
      <c r="AZ4">
        <v>637</v>
      </c>
      <c r="BB4" t="s">
        <v>25</v>
      </c>
      <c r="BC4">
        <v>651</v>
      </c>
      <c r="BE4" t="s">
        <v>21</v>
      </c>
      <c r="BF4">
        <v>609</v>
      </c>
      <c r="BH4" t="s">
        <v>21</v>
      </c>
      <c r="BI4">
        <v>168</v>
      </c>
    </row>
    <row r="5" spans="3:61" x14ac:dyDescent="0.2">
      <c r="C5" t="s">
        <v>7</v>
      </c>
      <c r="D5" t="e">
        <f>SUMIF(#REF!,"&lt;&gt;#I/T")</f>
        <v>#REF!</v>
      </c>
      <c r="N5" t="s">
        <v>23</v>
      </c>
      <c r="O5">
        <v>720</v>
      </c>
      <c r="Q5" t="s">
        <v>23</v>
      </c>
      <c r="R5">
        <v>660</v>
      </c>
      <c r="T5" t="s">
        <v>23</v>
      </c>
      <c r="U5">
        <v>710</v>
      </c>
      <c r="W5" t="s">
        <v>23</v>
      </c>
      <c r="X5">
        <v>680</v>
      </c>
      <c r="Z5" t="s">
        <v>25</v>
      </c>
      <c r="AA5">
        <v>547</v>
      </c>
      <c r="AC5" t="s">
        <v>22</v>
      </c>
      <c r="AD5">
        <v>488</v>
      </c>
      <c r="AG5" t="s">
        <v>22</v>
      </c>
      <c r="AH5">
        <v>957</v>
      </c>
      <c r="AJ5" t="s">
        <v>22</v>
      </c>
      <c r="AK5">
        <v>673</v>
      </c>
      <c r="AM5" t="s">
        <v>20</v>
      </c>
      <c r="AN5">
        <v>630</v>
      </c>
      <c r="AP5" t="s">
        <v>25</v>
      </c>
      <c r="AQ5">
        <v>616</v>
      </c>
      <c r="AS5" t="s">
        <v>19</v>
      </c>
      <c r="AT5">
        <v>644</v>
      </c>
      <c r="AV5" t="s">
        <v>22</v>
      </c>
      <c r="AW5">
        <v>537</v>
      </c>
      <c r="AY5" t="s">
        <v>19</v>
      </c>
      <c r="AZ5">
        <v>621</v>
      </c>
      <c r="BB5" t="s">
        <v>23</v>
      </c>
      <c r="BC5">
        <v>604</v>
      </c>
      <c r="BE5" t="s">
        <v>24</v>
      </c>
      <c r="BF5">
        <v>598</v>
      </c>
      <c r="BH5" t="s">
        <v>20</v>
      </c>
      <c r="BI5">
        <v>169</v>
      </c>
    </row>
    <row r="6" spans="3:61" x14ac:dyDescent="0.2">
      <c r="C6" t="s">
        <v>8</v>
      </c>
      <c r="D6" t="e">
        <f>SUMIF(#REF!,"&lt;&gt;#I/T")</f>
        <v>#REF!</v>
      </c>
      <c r="N6" t="s">
        <v>19</v>
      </c>
      <c r="O6">
        <v>590</v>
      </c>
      <c r="Q6" t="s">
        <v>19</v>
      </c>
      <c r="R6">
        <v>630</v>
      </c>
      <c r="T6" t="s">
        <v>19</v>
      </c>
      <c r="U6">
        <v>610</v>
      </c>
      <c r="W6" t="s">
        <v>19</v>
      </c>
      <c r="X6">
        <v>618</v>
      </c>
      <c r="Z6" t="s">
        <v>21</v>
      </c>
      <c r="AA6">
        <v>538</v>
      </c>
      <c r="AC6" t="s">
        <v>23</v>
      </c>
      <c r="AD6">
        <v>541</v>
      </c>
      <c r="AG6" t="s">
        <v>25</v>
      </c>
      <c r="AH6">
        <v>955</v>
      </c>
      <c r="AJ6" t="s">
        <v>23</v>
      </c>
      <c r="AK6">
        <v>665</v>
      </c>
      <c r="AM6" t="s">
        <v>21</v>
      </c>
      <c r="AN6">
        <v>598</v>
      </c>
      <c r="AP6" t="s">
        <v>20</v>
      </c>
      <c r="AQ6">
        <v>589</v>
      </c>
      <c r="AS6" t="s">
        <v>21</v>
      </c>
      <c r="AT6">
        <v>628</v>
      </c>
      <c r="AV6" t="s">
        <v>21</v>
      </c>
      <c r="AW6">
        <v>498</v>
      </c>
      <c r="AY6" t="s">
        <v>20</v>
      </c>
      <c r="AZ6">
        <v>611</v>
      </c>
      <c r="BB6" t="s">
        <v>24</v>
      </c>
      <c r="BC6">
        <v>596</v>
      </c>
      <c r="BE6" t="s">
        <v>19</v>
      </c>
      <c r="BF6">
        <v>592</v>
      </c>
      <c r="BH6" t="s">
        <v>24</v>
      </c>
      <c r="BI6">
        <v>192</v>
      </c>
    </row>
    <row r="7" spans="3:61" x14ac:dyDescent="0.2">
      <c r="C7" t="s">
        <v>9</v>
      </c>
      <c r="D7" t="e">
        <f>SUMIF(#REF!,"&lt;&gt;#I/T")</f>
        <v>#REF!</v>
      </c>
      <c r="N7" t="s">
        <v>24</v>
      </c>
      <c r="O7">
        <v>630</v>
      </c>
      <c r="Q7" t="s">
        <v>24</v>
      </c>
      <c r="R7">
        <v>640</v>
      </c>
      <c r="T7" t="s">
        <v>24</v>
      </c>
      <c r="U7">
        <v>580</v>
      </c>
      <c r="W7" t="s">
        <v>24</v>
      </c>
      <c r="X7">
        <v>565</v>
      </c>
      <c r="Z7" t="s">
        <v>22</v>
      </c>
      <c r="AA7">
        <v>538</v>
      </c>
      <c r="AC7" t="s">
        <v>21</v>
      </c>
      <c r="AD7">
        <v>612</v>
      </c>
      <c r="AG7" t="s">
        <v>21</v>
      </c>
      <c r="AH7">
        <v>724</v>
      </c>
      <c r="AJ7" t="s">
        <v>20</v>
      </c>
      <c r="AK7">
        <v>647</v>
      </c>
      <c r="AM7" t="s">
        <v>22</v>
      </c>
      <c r="AN7">
        <v>581</v>
      </c>
      <c r="AP7" t="s">
        <v>21</v>
      </c>
      <c r="AQ7">
        <v>578</v>
      </c>
      <c r="AS7" t="s">
        <v>22</v>
      </c>
      <c r="AT7">
        <v>615</v>
      </c>
      <c r="AV7" t="s">
        <v>20</v>
      </c>
      <c r="AW7">
        <v>487</v>
      </c>
      <c r="AY7" t="s">
        <v>24</v>
      </c>
      <c r="AZ7">
        <v>565</v>
      </c>
      <c r="BB7" t="s">
        <v>21</v>
      </c>
      <c r="BC7">
        <v>582</v>
      </c>
      <c r="BE7" t="s">
        <v>23</v>
      </c>
      <c r="BF7">
        <v>585</v>
      </c>
      <c r="BH7" t="s">
        <v>22</v>
      </c>
      <c r="BI7">
        <v>234</v>
      </c>
    </row>
    <row r="8" spans="3:61" x14ac:dyDescent="0.2">
      <c r="C8" t="s">
        <v>94</v>
      </c>
      <c r="D8" t="e">
        <f>SUMIF(#REF!,"&lt;&gt;#I/T")</f>
        <v>#REF!</v>
      </c>
      <c r="N8" t="s">
        <v>20</v>
      </c>
      <c r="O8">
        <v>580</v>
      </c>
      <c r="Q8" t="s">
        <v>20</v>
      </c>
      <c r="R8">
        <v>660</v>
      </c>
      <c r="T8" t="s">
        <v>20</v>
      </c>
      <c r="U8">
        <v>640</v>
      </c>
      <c r="W8" t="s">
        <v>20</v>
      </c>
      <c r="X8">
        <v>538</v>
      </c>
      <c r="Z8" t="s">
        <v>23</v>
      </c>
      <c r="AA8">
        <v>538</v>
      </c>
      <c r="AC8" t="s">
        <v>19</v>
      </c>
      <c r="AD8">
        <v>485</v>
      </c>
      <c r="AG8" t="s">
        <v>23</v>
      </c>
      <c r="AH8">
        <v>996</v>
      </c>
      <c r="AJ8" t="s">
        <v>24</v>
      </c>
      <c r="AK8">
        <v>635</v>
      </c>
      <c r="AM8" t="s">
        <v>19</v>
      </c>
      <c r="AN8">
        <v>575</v>
      </c>
      <c r="AP8" t="s">
        <v>22</v>
      </c>
      <c r="AQ8">
        <v>561</v>
      </c>
      <c r="AS8" t="s">
        <v>20</v>
      </c>
      <c r="AT8">
        <v>606</v>
      </c>
      <c r="AV8" t="s">
        <v>23</v>
      </c>
      <c r="AW8">
        <v>464</v>
      </c>
      <c r="AY8" t="s">
        <v>25</v>
      </c>
      <c r="AZ8">
        <v>557</v>
      </c>
      <c r="BB8" t="s">
        <v>20</v>
      </c>
      <c r="BC8">
        <v>571</v>
      </c>
      <c r="BE8" t="s">
        <v>22</v>
      </c>
      <c r="BF8">
        <v>576</v>
      </c>
      <c r="BH8" t="s">
        <v>19</v>
      </c>
      <c r="BI8">
        <v>240</v>
      </c>
    </row>
    <row r="9" spans="3:61" x14ac:dyDescent="0.2">
      <c r="C9" t="s">
        <v>95</v>
      </c>
      <c r="D9" t="e">
        <f>SUMIF(#REF!,"&lt;&gt;#I/T")</f>
        <v>#REF!</v>
      </c>
      <c r="N9" t="s">
        <v>22</v>
      </c>
      <c r="O9">
        <v>660</v>
      </c>
      <c r="Q9" t="s">
        <v>22</v>
      </c>
      <c r="R9">
        <v>610</v>
      </c>
      <c r="T9" t="s">
        <v>22</v>
      </c>
      <c r="U9">
        <v>620</v>
      </c>
      <c r="W9" t="s">
        <v>22</v>
      </c>
      <c r="X9">
        <v>494</v>
      </c>
      <c r="Z9" t="s">
        <v>19</v>
      </c>
      <c r="AA9">
        <v>484</v>
      </c>
      <c r="AC9" t="s">
        <v>25</v>
      </c>
      <c r="AD9">
        <v>547</v>
      </c>
      <c r="AG9" t="s">
        <v>24</v>
      </c>
      <c r="AH9">
        <v>700</v>
      </c>
      <c r="AJ9" t="s">
        <v>21</v>
      </c>
      <c r="AK9">
        <v>534</v>
      </c>
      <c r="AM9" t="s">
        <v>25</v>
      </c>
      <c r="AN9">
        <v>546</v>
      </c>
      <c r="AP9" t="s">
        <v>23</v>
      </c>
      <c r="AQ9">
        <v>542</v>
      </c>
      <c r="AS9" t="s">
        <v>23</v>
      </c>
      <c r="AT9">
        <v>577</v>
      </c>
      <c r="AV9" t="s">
        <v>25</v>
      </c>
      <c r="AW9">
        <v>431</v>
      </c>
      <c r="AY9" t="s">
        <v>21</v>
      </c>
      <c r="AZ9">
        <v>517</v>
      </c>
      <c r="BB9" t="s">
        <v>22</v>
      </c>
      <c r="BC9">
        <v>549</v>
      </c>
      <c r="BE9" t="s">
        <v>20</v>
      </c>
      <c r="BF9">
        <v>572</v>
      </c>
      <c r="BH9" t="s">
        <v>25</v>
      </c>
      <c r="BI9">
        <v>242</v>
      </c>
    </row>
    <row r="10" spans="3:61" x14ac:dyDescent="0.2">
      <c r="N10" t="s">
        <v>25</v>
      </c>
      <c r="O10">
        <v>640</v>
      </c>
      <c r="Q10" t="s">
        <v>25</v>
      </c>
      <c r="R10">
        <v>610</v>
      </c>
      <c r="T10" t="s">
        <v>25</v>
      </c>
      <c r="U10">
        <v>610</v>
      </c>
      <c r="W10" t="s">
        <v>25</v>
      </c>
      <c r="X10">
        <v>636</v>
      </c>
      <c r="Z10" t="s">
        <v>20</v>
      </c>
      <c r="AA10">
        <v>488</v>
      </c>
      <c r="AC10" t="s">
        <v>20</v>
      </c>
      <c r="AD10">
        <v>603</v>
      </c>
      <c r="AG10" t="s">
        <v>19</v>
      </c>
      <c r="AH10">
        <v>483</v>
      </c>
      <c r="AJ10" t="s">
        <v>25</v>
      </c>
      <c r="AK10">
        <v>478</v>
      </c>
      <c r="AM10" t="s">
        <v>24</v>
      </c>
      <c r="AN10">
        <v>488</v>
      </c>
      <c r="AP10" t="s">
        <v>19</v>
      </c>
      <c r="AQ10">
        <v>535</v>
      </c>
      <c r="AS10" t="s">
        <v>24</v>
      </c>
      <c r="AT10">
        <v>543</v>
      </c>
      <c r="AV10" t="s">
        <v>24</v>
      </c>
      <c r="AW10">
        <v>415</v>
      </c>
      <c r="AY10" t="s">
        <v>23</v>
      </c>
      <c r="AZ10">
        <v>511</v>
      </c>
      <c r="BB10" t="s">
        <v>19</v>
      </c>
      <c r="BC10">
        <v>521</v>
      </c>
      <c r="BE10" t="s">
        <v>25</v>
      </c>
      <c r="BF10">
        <v>549</v>
      </c>
      <c r="BH10" t="s">
        <v>23</v>
      </c>
      <c r="BI10">
        <v>243</v>
      </c>
    </row>
    <row r="11" spans="3:61" x14ac:dyDescent="0.2">
      <c r="C11" s="4" t="s">
        <v>63</v>
      </c>
      <c r="D11" s="28" t="s">
        <v>19</v>
      </c>
      <c r="E11" s="28" t="s">
        <v>20</v>
      </c>
      <c r="F11" s="28" t="s">
        <v>21</v>
      </c>
      <c r="G11" s="28" t="s">
        <v>22</v>
      </c>
      <c r="H11" s="28" t="s">
        <v>23</v>
      </c>
      <c r="I11" s="28" t="s">
        <v>24</v>
      </c>
      <c r="J11" s="28" t="s">
        <v>25</v>
      </c>
      <c r="K11" s="28" t="s">
        <v>96</v>
      </c>
      <c r="L11" s="4"/>
      <c r="M11" s="4"/>
      <c r="P11" s="4"/>
      <c r="S11" s="4"/>
      <c r="V11" s="4"/>
    </row>
    <row r="12" spans="3:61" x14ac:dyDescent="0.2"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P12" s="4"/>
      <c r="Q12" s="123" t="s">
        <v>97</v>
      </c>
      <c r="R12" s="122">
        <v>2025</v>
      </c>
      <c r="S12" s="122">
        <v>2024</v>
      </c>
      <c r="T12" s="122">
        <v>2023</v>
      </c>
      <c r="U12" s="122">
        <v>2022</v>
      </c>
      <c r="V12" s="122">
        <v>2021</v>
      </c>
      <c r="W12" s="122">
        <v>2020</v>
      </c>
      <c r="X12" s="122">
        <v>2019</v>
      </c>
      <c r="Y12" s="122">
        <v>2018</v>
      </c>
      <c r="Z12" s="122">
        <v>2017</v>
      </c>
      <c r="AA12" s="122">
        <v>2016</v>
      </c>
      <c r="AB12" s="122">
        <v>2015</v>
      </c>
      <c r="AC12" s="122">
        <v>2014</v>
      </c>
      <c r="AD12" s="122">
        <v>2013</v>
      </c>
      <c r="AE12" s="122">
        <v>2012</v>
      </c>
      <c r="AF12" s="122">
        <v>2011</v>
      </c>
      <c r="AG12" s="122">
        <v>2010</v>
      </c>
      <c r="AH12" s="122"/>
      <c r="AI12" s="122"/>
      <c r="AJ12" s="122"/>
      <c r="AK12" s="122" t="s">
        <v>98</v>
      </c>
      <c r="AL12" s="122" t="s">
        <v>99</v>
      </c>
      <c r="AM12" s="2"/>
      <c r="AO12" s="135" t="s">
        <v>100</v>
      </c>
      <c r="AP12" s="136"/>
      <c r="AS12" s="133" t="s">
        <v>101</v>
      </c>
      <c r="AT12" s="134"/>
      <c r="AV12" s="135" t="s">
        <v>102</v>
      </c>
      <c r="AW12" s="141"/>
      <c r="AX12" s="136" t="s">
        <v>63</v>
      </c>
    </row>
    <row r="13" spans="3:61" x14ac:dyDescent="0.2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P13" s="4"/>
      <c r="Q13" t="s">
        <v>19</v>
      </c>
      <c r="R13">
        <f>_xlfn.XLOOKUP($Q13,N$4:N$10,O$4:O$10)</f>
        <v>590</v>
      </c>
      <c r="S13">
        <f t="shared" ref="S13:S19" si="0">_xlfn.SINGLE(_xlfn.XLOOKUP($Q13,Q$4:Q$10,R$4:R$10))</f>
        <v>630</v>
      </c>
      <c r="T13" s="4">
        <f t="shared" ref="T13:T19" si="1">_xlfn.SINGLE(_xlfn.XLOOKUP($Q13,T$4:T$10,U$4:U$10))</f>
        <v>610</v>
      </c>
      <c r="U13" s="4">
        <f t="shared" ref="U13:U19" si="2">_xlfn.SINGLE(_xlfn.XLOOKUP($Q13,W$4:W$10,X$4:X$10))</f>
        <v>618</v>
      </c>
      <c r="V13" s="4">
        <f t="shared" ref="V13:V19" si="3">_xlfn.SINGLE(_xlfn.XLOOKUP($Q13,Z$4:Z$10,AA$4:AA$10))</f>
        <v>484</v>
      </c>
      <c r="W13" s="4">
        <f t="shared" ref="W13:W19" si="4">_xlfn.SINGLE(_xlfn.XLOOKUP($Q13,AC$4:AC$10,AD$4:AD$10))</f>
        <v>485</v>
      </c>
      <c r="X13">
        <f t="shared" ref="X13:X19" si="5">_xlfn.SINGLE(_xlfn.XLOOKUP($Q13,AG$4:AG$10,AH$4:AH$10))</f>
        <v>483</v>
      </c>
      <c r="Y13">
        <f t="shared" ref="Y13:Y19" si="6">_xlfn.SINGLE(_xlfn.XLOOKUP($Q13,AJ$4:AJ$10,AK$4:AK$10))</f>
        <v>734</v>
      </c>
      <c r="Z13">
        <f t="shared" ref="Z13:Z19" si="7">_xlfn.SINGLE(_xlfn.XLOOKUP($Q13,AM$4:AM$10,AN$4:AN$10))</f>
        <v>575</v>
      </c>
      <c r="AA13">
        <f t="shared" ref="AA13:AA19" si="8">_xlfn.SINGLE(_xlfn.XLOOKUP($Q13,AP$4:AP$10,AQ$4:AQ$10))</f>
        <v>535</v>
      </c>
      <c r="AB13">
        <f t="shared" ref="AB13:AB19" si="9">_xlfn.SINGLE(_xlfn.XLOOKUP($Q13,AS$4:AS$10,AT$4:AT$10))</f>
        <v>644</v>
      </c>
      <c r="AC13">
        <f t="shared" ref="AC13:AC19" si="10">_xlfn.SINGLE(_xlfn.XLOOKUP($Q13,AV$4:AV$10,AW$4:AW$10))</f>
        <v>644</v>
      </c>
      <c r="AD13">
        <f t="shared" ref="AD13:AD19" si="11">_xlfn.SINGLE(_xlfn.XLOOKUP($Q13,AY$4:AY$10,AZ$4:AZ$10))</f>
        <v>621</v>
      </c>
      <c r="AE13">
        <f>_xlfn.XLOOKUP($Q13,BB$4:BB$10,BC$4:BC$10)</f>
        <v>521</v>
      </c>
      <c r="AF13">
        <f>_xlfn.XLOOKUP($Q13,BE$4:BE$10,BF$4:BF$10)</f>
        <v>592</v>
      </c>
      <c r="AG13">
        <f>_xlfn.XLOOKUP($Q13,BH$4:BH$10,BI$4:BI$10)</f>
        <v>240</v>
      </c>
      <c r="AK13" t="str">
        <f>Q13</f>
        <v>AHH</v>
      </c>
      <c r="AL13">
        <f t="shared" ref="AL13:AL19" si="12">SUM(N13:AK13)</f>
        <v>9006</v>
      </c>
      <c r="AN13" s="130">
        <v>1</v>
      </c>
      <c r="AO13" s="124" t="str" cm="1">
        <f t="array" ref="AO13:AP19">_xlfn._xlws.SORT($AK$13:$AL$19,{2;1},-1)</f>
        <v>ØG</v>
      </c>
      <c r="AP13" s="125">
        <v>9675</v>
      </c>
      <c r="AQ13" s="132" t="s">
        <v>103</v>
      </c>
      <c r="AR13" s="130">
        <v>1</v>
      </c>
      <c r="AS13" s="126" t="s">
        <v>23</v>
      </c>
      <c r="AT13" s="127">
        <f t="shared" ref="AT13:AT19" si="13">COUNTIFS($R$23:$R$38,AS13)</f>
        <v>5</v>
      </c>
      <c r="AU13" s="132"/>
      <c r="AV13" s="126">
        <f>LARGE(R13:AG19,1)</f>
        <v>996</v>
      </c>
      <c r="AW13" s="137" t="str">
        <f>_xlfn.XLOOKUP($AV$13,$Q$23:$Q$38,R23:R38)</f>
        <v>ØG</v>
      </c>
      <c r="AX13" s="138">
        <f>_xlfn.XLOOKUP($AV$13,$Q$23:$Q$38,P23:P38)</f>
        <v>2019</v>
      </c>
    </row>
    <row r="14" spans="3:61" x14ac:dyDescent="0.2"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P14" s="4"/>
      <c r="Q14" t="s">
        <v>20</v>
      </c>
      <c r="R14">
        <f t="shared" ref="R14:R19" si="14">_xlfn.SINGLE(_xlfn.XLOOKUP($Q14,N$4:N$10,O$4:O$10))</f>
        <v>580</v>
      </c>
      <c r="S14">
        <f t="shared" si="0"/>
        <v>660</v>
      </c>
      <c r="T14" s="4">
        <f t="shared" si="1"/>
        <v>640</v>
      </c>
      <c r="U14" s="4">
        <f t="shared" si="2"/>
        <v>538</v>
      </c>
      <c r="V14" s="4">
        <f t="shared" si="3"/>
        <v>488</v>
      </c>
      <c r="W14" s="4">
        <f t="shared" si="4"/>
        <v>603</v>
      </c>
      <c r="X14">
        <f t="shared" si="5"/>
        <v>969</v>
      </c>
      <c r="Y14">
        <f t="shared" si="6"/>
        <v>647</v>
      </c>
      <c r="Z14">
        <f t="shared" si="7"/>
        <v>630</v>
      </c>
      <c r="AA14">
        <f t="shared" si="8"/>
        <v>589</v>
      </c>
      <c r="AB14">
        <f t="shared" si="9"/>
        <v>606</v>
      </c>
      <c r="AC14">
        <f t="shared" si="10"/>
        <v>487</v>
      </c>
      <c r="AD14">
        <f t="shared" si="11"/>
        <v>611</v>
      </c>
      <c r="AE14">
        <f t="shared" ref="AE14:AE19" si="15">_xlfn.SINGLE(_xlfn.XLOOKUP($Q14,BB$4:BB$10,BC$4:BC$10))</f>
        <v>571</v>
      </c>
      <c r="AF14">
        <f t="shared" ref="AF14:AF19" si="16">_xlfn.SINGLE(_xlfn.XLOOKUP($Q14,BE$4:BE$10,BF$4:BF$10))</f>
        <v>572</v>
      </c>
      <c r="AG14">
        <f t="shared" ref="AG14:AG19" si="17">_xlfn.SINGLE(_xlfn.XLOOKUP($Q14,BH$4:BH$10,BI$4:BI$10))</f>
        <v>169</v>
      </c>
      <c r="AK14" t="str">
        <f t="shared" ref="AK14:AK19" si="18">Q14</f>
        <v>RB</v>
      </c>
      <c r="AL14">
        <f t="shared" si="12"/>
        <v>9360</v>
      </c>
      <c r="AN14" s="130">
        <v>2</v>
      </c>
      <c r="AO14" s="126" t="str">
        <v>RB</v>
      </c>
      <c r="AP14" s="127">
        <v>9360</v>
      </c>
      <c r="AQ14" s="131">
        <f t="shared" ref="AQ14:AQ19" si="19">$AP$13-AP14</f>
        <v>315</v>
      </c>
      <c r="AR14" s="130">
        <v>2</v>
      </c>
      <c r="AS14" s="126" t="s">
        <v>24</v>
      </c>
      <c r="AT14" s="127">
        <f t="shared" si="13"/>
        <v>4</v>
      </c>
      <c r="AU14" s="131"/>
      <c r="AV14" s="126">
        <f>LARGE(R14:AG20,2)</f>
        <v>969</v>
      </c>
      <c r="AW14" s="137" t="str">
        <f>_xlfn.XLOOKUP($AV$13,$Q$23:$Q$38,R24:R39)</f>
        <v>AHH</v>
      </c>
      <c r="AX14" s="138">
        <f>_xlfn.XLOOKUP($AV$13,$Q$23:$Q$38,P24:P39)</f>
        <v>2018</v>
      </c>
    </row>
    <row r="15" spans="3:61" x14ac:dyDescent="0.2">
      <c r="C15">
        <v>2002</v>
      </c>
      <c r="D15" s="4"/>
      <c r="E15" s="4"/>
      <c r="F15" s="4"/>
      <c r="G15" s="4"/>
      <c r="H15" s="4"/>
      <c r="I15" s="4"/>
      <c r="J15" s="4"/>
      <c r="K15" s="4"/>
      <c r="L15" s="4"/>
      <c r="M15" s="4"/>
      <c r="P15" s="4"/>
      <c r="Q15" t="s">
        <v>21</v>
      </c>
      <c r="R15">
        <f t="shared" si="14"/>
        <v>670</v>
      </c>
      <c r="S15">
        <f t="shared" si="0"/>
        <v>640</v>
      </c>
      <c r="T15" s="4">
        <f t="shared" si="1"/>
        <v>590</v>
      </c>
      <c r="U15" s="4">
        <f t="shared" si="2"/>
        <v>686</v>
      </c>
      <c r="V15" s="4">
        <f t="shared" si="3"/>
        <v>538</v>
      </c>
      <c r="W15" s="4">
        <f t="shared" si="4"/>
        <v>612</v>
      </c>
      <c r="X15">
        <f t="shared" si="5"/>
        <v>724</v>
      </c>
      <c r="Y15">
        <f t="shared" si="6"/>
        <v>534</v>
      </c>
      <c r="Z15">
        <f t="shared" si="7"/>
        <v>598</v>
      </c>
      <c r="AA15">
        <f t="shared" si="8"/>
        <v>578</v>
      </c>
      <c r="AB15">
        <f t="shared" si="9"/>
        <v>628</v>
      </c>
      <c r="AC15">
        <f t="shared" si="10"/>
        <v>498</v>
      </c>
      <c r="AD15">
        <f t="shared" si="11"/>
        <v>517</v>
      </c>
      <c r="AE15">
        <f t="shared" si="15"/>
        <v>582</v>
      </c>
      <c r="AF15">
        <f t="shared" si="16"/>
        <v>609</v>
      </c>
      <c r="AG15">
        <f t="shared" si="17"/>
        <v>168</v>
      </c>
      <c r="AK15" t="str">
        <f t="shared" si="18"/>
        <v>EB</v>
      </c>
      <c r="AL15">
        <f t="shared" si="12"/>
        <v>9172</v>
      </c>
      <c r="AN15" s="130">
        <v>3</v>
      </c>
      <c r="AO15" s="126" t="str">
        <v>KAF</v>
      </c>
      <c r="AP15" s="127">
        <v>9330</v>
      </c>
      <c r="AQ15" s="131">
        <f t="shared" si="19"/>
        <v>345</v>
      </c>
      <c r="AR15" s="130">
        <v>3</v>
      </c>
      <c r="AS15" s="126" t="s">
        <v>21</v>
      </c>
      <c r="AT15" s="127">
        <f t="shared" si="13"/>
        <v>2</v>
      </c>
      <c r="AU15" s="131"/>
      <c r="AV15" s="128">
        <f>LARGE(R15:AG21,3)</f>
        <v>955</v>
      </c>
      <c r="AW15" s="139" t="str">
        <f>_xlfn.XLOOKUP($AV$13,$Q$23:$Q$38,R25:R40)</f>
        <v>ØG</v>
      </c>
      <c r="AX15" s="140">
        <f>_xlfn.XLOOKUP($AV$13,$Q$23:$Q$38,P25:P40)</f>
        <v>2017</v>
      </c>
    </row>
    <row r="16" spans="3:61" x14ac:dyDescent="0.2">
      <c r="C16">
        <v>2003</v>
      </c>
      <c r="D16" s="4"/>
      <c r="E16" s="4"/>
      <c r="F16" s="4"/>
      <c r="G16" s="4"/>
      <c r="H16" s="4"/>
      <c r="I16" s="4"/>
      <c r="J16" s="4"/>
      <c r="K16" s="4"/>
      <c r="L16" s="4"/>
      <c r="M16" s="4"/>
      <c r="P16" s="4"/>
      <c r="Q16" t="s">
        <v>22</v>
      </c>
      <c r="R16">
        <f t="shared" si="14"/>
        <v>660</v>
      </c>
      <c r="S16">
        <f t="shared" si="0"/>
        <v>610</v>
      </c>
      <c r="T16" s="4">
        <f t="shared" si="1"/>
        <v>620</v>
      </c>
      <c r="U16" s="4">
        <f t="shared" si="2"/>
        <v>494</v>
      </c>
      <c r="V16" s="4">
        <f t="shared" si="3"/>
        <v>538</v>
      </c>
      <c r="W16" s="4">
        <f t="shared" si="4"/>
        <v>488</v>
      </c>
      <c r="X16">
        <f t="shared" si="5"/>
        <v>957</v>
      </c>
      <c r="Y16">
        <f t="shared" si="6"/>
        <v>673</v>
      </c>
      <c r="Z16">
        <f t="shared" si="7"/>
        <v>581</v>
      </c>
      <c r="AA16">
        <f t="shared" si="8"/>
        <v>561</v>
      </c>
      <c r="AB16">
        <f t="shared" si="9"/>
        <v>615</v>
      </c>
      <c r="AC16">
        <f t="shared" si="10"/>
        <v>537</v>
      </c>
      <c r="AD16">
        <f t="shared" si="11"/>
        <v>637</v>
      </c>
      <c r="AE16">
        <f t="shared" si="15"/>
        <v>549</v>
      </c>
      <c r="AF16">
        <f t="shared" si="16"/>
        <v>576</v>
      </c>
      <c r="AG16">
        <f t="shared" si="17"/>
        <v>234</v>
      </c>
      <c r="AK16" t="str">
        <f t="shared" si="18"/>
        <v>KAF</v>
      </c>
      <c r="AL16">
        <f t="shared" si="12"/>
        <v>9330</v>
      </c>
      <c r="AN16" s="130">
        <v>4</v>
      </c>
      <c r="AO16" s="126" t="str">
        <v>TOH</v>
      </c>
      <c r="AP16" s="127">
        <v>9276</v>
      </c>
      <c r="AQ16" s="131">
        <f t="shared" si="19"/>
        <v>399</v>
      </c>
      <c r="AR16" s="130">
        <v>4</v>
      </c>
      <c r="AS16" s="126" t="s">
        <v>25</v>
      </c>
      <c r="AT16" s="127">
        <f t="shared" si="13"/>
        <v>2</v>
      </c>
      <c r="AU16" s="131"/>
    </row>
    <row r="17" spans="3:47" x14ac:dyDescent="0.2">
      <c r="C17">
        <v>2004</v>
      </c>
      <c r="D17" s="4">
        <v>880</v>
      </c>
      <c r="E17" s="4">
        <v>594</v>
      </c>
      <c r="F17" s="4">
        <v>593</v>
      </c>
      <c r="G17" s="4">
        <v>819</v>
      </c>
      <c r="H17" s="4">
        <v>934</v>
      </c>
      <c r="I17" s="4"/>
      <c r="J17" s="4"/>
      <c r="K17" s="4">
        <v>810</v>
      </c>
      <c r="L17" s="4"/>
      <c r="M17" s="4"/>
      <c r="P17" s="4"/>
      <c r="Q17" t="s">
        <v>23</v>
      </c>
      <c r="R17">
        <f t="shared" si="14"/>
        <v>720</v>
      </c>
      <c r="S17">
        <f t="shared" si="0"/>
        <v>660</v>
      </c>
      <c r="T17" s="4">
        <f t="shared" si="1"/>
        <v>710</v>
      </c>
      <c r="U17" s="4">
        <f t="shared" si="2"/>
        <v>680</v>
      </c>
      <c r="V17" s="4">
        <f t="shared" si="3"/>
        <v>538</v>
      </c>
      <c r="W17" s="4">
        <f t="shared" si="4"/>
        <v>541</v>
      </c>
      <c r="X17">
        <f t="shared" si="5"/>
        <v>996</v>
      </c>
      <c r="Y17">
        <f t="shared" si="6"/>
        <v>665</v>
      </c>
      <c r="Z17">
        <f t="shared" si="7"/>
        <v>639</v>
      </c>
      <c r="AA17">
        <f t="shared" si="8"/>
        <v>542</v>
      </c>
      <c r="AB17">
        <f t="shared" si="9"/>
        <v>577</v>
      </c>
      <c r="AC17">
        <f t="shared" si="10"/>
        <v>464</v>
      </c>
      <c r="AD17">
        <f t="shared" si="11"/>
        <v>511</v>
      </c>
      <c r="AE17">
        <f t="shared" si="15"/>
        <v>604</v>
      </c>
      <c r="AF17">
        <f t="shared" si="16"/>
        <v>585</v>
      </c>
      <c r="AG17">
        <f t="shared" si="17"/>
        <v>243</v>
      </c>
      <c r="AK17" t="str">
        <f t="shared" si="18"/>
        <v>ØG</v>
      </c>
      <c r="AL17">
        <f t="shared" si="12"/>
        <v>9675</v>
      </c>
      <c r="AN17" s="130">
        <v>5</v>
      </c>
      <c r="AO17" s="126" t="str">
        <v>EB</v>
      </c>
      <c r="AP17" s="127">
        <v>9172</v>
      </c>
      <c r="AQ17" s="131">
        <f t="shared" si="19"/>
        <v>503</v>
      </c>
      <c r="AR17" s="130">
        <v>5</v>
      </c>
      <c r="AS17" s="126" t="s">
        <v>19</v>
      </c>
      <c r="AT17" s="127">
        <f t="shared" si="13"/>
        <v>1</v>
      </c>
      <c r="AU17" s="131"/>
    </row>
    <row r="18" spans="3:47" x14ac:dyDescent="0.2">
      <c r="C18">
        <v>2005</v>
      </c>
      <c r="D18" s="4">
        <v>207</v>
      </c>
      <c r="E18" s="4">
        <v>184</v>
      </c>
      <c r="F18" s="4">
        <v>145</v>
      </c>
      <c r="G18" s="4">
        <v>205</v>
      </c>
      <c r="H18" s="4">
        <v>206</v>
      </c>
      <c r="I18" s="4"/>
      <c r="J18" s="4"/>
      <c r="K18" s="4">
        <v>197</v>
      </c>
      <c r="L18" s="4"/>
      <c r="M18" s="4"/>
      <c r="P18" s="4"/>
      <c r="Q18" t="s">
        <v>24</v>
      </c>
      <c r="R18">
        <f t="shared" si="14"/>
        <v>630</v>
      </c>
      <c r="S18">
        <f t="shared" si="0"/>
        <v>640</v>
      </c>
      <c r="T18" s="4">
        <f t="shared" si="1"/>
        <v>580</v>
      </c>
      <c r="U18" s="4">
        <f t="shared" si="2"/>
        <v>565</v>
      </c>
      <c r="V18" s="4">
        <f t="shared" si="3"/>
        <v>553</v>
      </c>
      <c r="W18" s="4">
        <f t="shared" si="4"/>
        <v>754</v>
      </c>
      <c r="X18">
        <f t="shared" si="5"/>
        <v>700</v>
      </c>
      <c r="Y18">
        <f t="shared" si="6"/>
        <v>635</v>
      </c>
      <c r="Z18">
        <f t="shared" si="7"/>
        <v>488</v>
      </c>
      <c r="AA18">
        <f t="shared" si="8"/>
        <v>618</v>
      </c>
      <c r="AB18">
        <f t="shared" si="9"/>
        <v>543</v>
      </c>
      <c r="AC18">
        <f t="shared" si="10"/>
        <v>415</v>
      </c>
      <c r="AD18">
        <f t="shared" si="11"/>
        <v>565</v>
      </c>
      <c r="AE18">
        <f t="shared" si="15"/>
        <v>596</v>
      </c>
      <c r="AF18">
        <f t="shared" si="16"/>
        <v>598</v>
      </c>
      <c r="AG18">
        <f t="shared" si="17"/>
        <v>192</v>
      </c>
      <c r="AK18" t="str">
        <f t="shared" si="18"/>
        <v>JH</v>
      </c>
      <c r="AL18">
        <f t="shared" si="12"/>
        <v>9072</v>
      </c>
      <c r="AN18" s="130">
        <v>6</v>
      </c>
      <c r="AO18" s="126" t="str">
        <v>JH</v>
      </c>
      <c r="AP18" s="127">
        <v>9072</v>
      </c>
      <c r="AQ18" s="131">
        <f t="shared" si="19"/>
        <v>603</v>
      </c>
      <c r="AR18" s="130">
        <v>6</v>
      </c>
      <c r="AS18" s="126" t="s">
        <v>22</v>
      </c>
      <c r="AT18" s="127">
        <f t="shared" si="13"/>
        <v>1</v>
      </c>
      <c r="AU18" s="131"/>
    </row>
    <row r="19" spans="3:47" x14ac:dyDescent="0.2">
      <c r="C19">
        <v>2006</v>
      </c>
      <c r="D19" s="4"/>
      <c r="E19" s="4"/>
      <c r="F19" s="4"/>
      <c r="G19" s="4"/>
      <c r="H19" s="4"/>
      <c r="I19" s="4"/>
      <c r="J19" s="4"/>
      <c r="K19" s="4"/>
      <c r="L19" s="4"/>
      <c r="M19" s="4"/>
      <c r="P19" s="4"/>
      <c r="Q19" t="s">
        <v>25</v>
      </c>
      <c r="R19">
        <f t="shared" si="14"/>
        <v>640</v>
      </c>
      <c r="S19">
        <f t="shared" si="0"/>
        <v>610</v>
      </c>
      <c r="T19" s="4">
        <f t="shared" si="1"/>
        <v>610</v>
      </c>
      <c r="U19" s="4">
        <f t="shared" si="2"/>
        <v>636</v>
      </c>
      <c r="V19" s="4">
        <f t="shared" si="3"/>
        <v>547</v>
      </c>
      <c r="W19" s="4">
        <f t="shared" si="4"/>
        <v>547</v>
      </c>
      <c r="X19">
        <f t="shared" si="5"/>
        <v>955</v>
      </c>
      <c r="Y19">
        <f t="shared" si="6"/>
        <v>478</v>
      </c>
      <c r="Z19">
        <f t="shared" si="7"/>
        <v>546</v>
      </c>
      <c r="AA19">
        <f t="shared" si="8"/>
        <v>616</v>
      </c>
      <c r="AB19">
        <f t="shared" si="9"/>
        <v>661</v>
      </c>
      <c r="AC19">
        <f t="shared" si="10"/>
        <v>431</v>
      </c>
      <c r="AD19">
        <f t="shared" si="11"/>
        <v>557</v>
      </c>
      <c r="AE19">
        <f t="shared" si="15"/>
        <v>651</v>
      </c>
      <c r="AF19">
        <f t="shared" si="16"/>
        <v>549</v>
      </c>
      <c r="AG19">
        <f t="shared" si="17"/>
        <v>242</v>
      </c>
      <c r="AK19" t="str">
        <f t="shared" si="18"/>
        <v>TOH</v>
      </c>
      <c r="AL19">
        <f t="shared" si="12"/>
        <v>9276</v>
      </c>
      <c r="AN19" s="130">
        <v>7</v>
      </c>
      <c r="AO19" s="128" t="str">
        <v>AHH</v>
      </c>
      <c r="AP19" s="129">
        <v>9006</v>
      </c>
      <c r="AQ19" s="131">
        <f t="shared" si="19"/>
        <v>669</v>
      </c>
      <c r="AR19" s="130">
        <v>7</v>
      </c>
      <c r="AS19" s="128" t="s">
        <v>20</v>
      </c>
      <c r="AT19" s="129">
        <f t="shared" si="13"/>
        <v>1</v>
      </c>
      <c r="AU19" s="131"/>
    </row>
    <row r="20" spans="3:47" x14ac:dyDescent="0.2">
      <c r="C20">
        <v>2007</v>
      </c>
      <c r="D20" s="4">
        <v>403</v>
      </c>
      <c r="E20" s="4">
        <v>408</v>
      </c>
      <c r="F20" s="4">
        <v>360</v>
      </c>
      <c r="G20" s="4">
        <v>447</v>
      </c>
      <c r="H20" s="4">
        <v>445</v>
      </c>
      <c r="I20" s="4"/>
      <c r="J20" s="4"/>
      <c r="K20" s="4">
        <v>412</v>
      </c>
      <c r="L20" s="4"/>
      <c r="M20" s="4"/>
      <c r="P20" s="4"/>
      <c r="S20" s="4"/>
      <c r="T20" s="4"/>
      <c r="U20" s="4"/>
      <c r="V20" s="4"/>
    </row>
    <row r="21" spans="3:47" x14ac:dyDescent="0.2">
      <c r="C21">
        <v>2008</v>
      </c>
      <c r="D21" s="4"/>
      <c r="E21" s="4"/>
      <c r="F21" s="4"/>
      <c r="G21" s="4"/>
      <c r="H21" s="4"/>
      <c r="I21" s="4"/>
      <c r="J21" s="4"/>
      <c r="K21" s="4"/>
      <c r="L21" s="4"/>
      <c r="M21" s="4"/>
      <c r="P21" s="4"/>
      <c r="S21" s="4"/>
      <c r="T21" s="4"/>
      <c r="U21" s="4"/>
      <c r="V21" s="4"/>
    </row>
    <row r="22" spans="3:47" x14ac:dyDescent="0.2">
      <c r="C22">
        <v>2009</v>
      </c>
      <c r="D22" s="4">
        <v>986</v>
      </c>
      <c r="E22" s="4">
        <v>1014</v>
      </c>
      <c r="F22" s="4">
        <v>886</v>
      </c>
      <c r="G22" s="4">
        <v>1002</v>
      </c>
      <c r="H22" s="4">
        <v>1096</v>
      </c>
      <c r="I22" s="28">
        <v>1177</v>
      </c>
      <c r="J22" s="4">
        <v>407</v>
      </c>
      <c r="K22" s="4"/>
      <c r="L22" s="4"/>
      <c r="M22" s="4"/>
      <c r="P22" s="4"/>
      <c r="Q22" t="s">
        <v>104</v>
      </c>
      <c r="S22" s="4"/>
      <c r="T22" s="4" t="s">
        <v>31</v>
      </c>
      <c r="U22" s="4"/>
      <c r="V22" s="4"/>
      <c r="W22" t="s">
        <v>105</v>
      </c>
    </row>
    <row r="23" spans="3:47" x14ac:dyDescent="0.2">
      <c r="C23">
        <v>2010</v>
      </c>
      <c r="D23">
        <v>12820</v>
      </c>
      <c r="E23">
        <v>12591</v>
      </c>
      <c r="F23">
        <v>12762</v>
      </c>
      <c r="G23">
        <v>14456</v>
      </c>
      <c r="H23">
        <v>13448</v>
      </c>
      <c r="I23">
        <v>11305</v>
      </c>
      <c r="J23" s="25">
        <v>13529</v>
      </c>
      <c r="P23" s="2">
        <v>2025</v>
      </c>
      <c r="Q23">
        <f>MAX(R13:R19)</f>
        <v>720</v>
      </c>
      <c r="R23" t="str">
        <f>_xlfn.XLOOKUP(MAX(R$13:R$19),R$13:R$19,$Q$13:$Q$19)</f>
        <v>ØG</v>
      </c>
      <c r="T23" t="s">
        <v>19</v>
      </c>
      <c r="U23">
        <f>LARGE($R13:$AG13,1)</f>
        <v>734</v>
      </c>
      <c r="W23" t="str" cm="1">
        <f t="array" ref="W23:X29">_xlfn._xlws.SORT($T$23:$U$29,{2;1},-1)</f>
        <v>ØG</v>
      </c>
      <c r="X23">
        <v>996</v>
      </c>
    </row>
    <row r="24" spans="3:47" x14ac:dyDescent="0.2">
      <c r="C24">
        <v>2011</v>
      </c>
      <c r="D24">
        <v>14158</v>
      </c>
      <c r="E24">
        <v>12369</v>
      </c>
      <c r="F24">
        <v>12983</v>
      </c>
      <c r="G24" s="25">
        <v>14228</v>
      </c>
      <c r="H24">
        <v>13384</v>
      </c>
      <c r="I24">
        <v>13078</v>
      </c>
      <c r="J24">
        <v>13237</v>
      </c>
      <c r="P24" s="2">
        <v>2024</v>
      </c>
      <c r="Q24">
        <f>MAX(S13:S19)</f>
        <v>660</v>
      </c>
      <c r="R24" t="str">
        <f>_xlfn.XLOOKUP(MAX(S$13:S$19),S$13:S$19,$Q$13:$Q$19)</f>
        <v>RB</v>
      </c>
      <c r="T24" t="s">
        <v>20</v>
      </c>
      <c r="U24">
        <f t="shared" ref="U24:U29" si="20">LARGE($R14:$AG14,1)</f>
        <v>969</v>
      </c>
      <c r="W24" t="str">
        <v>RB</v>
      </c>
      <c r="X24">
        <v>969</v>
      </c>
    </row>
    <row r="25" spans="3:47" x14ac:dyDescent="0.2">
      <c r="C25">
        <v>2012</v>
      </c>
      <c r="D25">
        <v>12516</v>
      </c>
      <c r="E25">
        <v>13147</v>
      </c>
      <c r="F25">
        <v>13488</v>
      </c>
      <c r="G25">
        <v>13217</v>
      </c>
      <c r="H25" s="25">
        <v>14001</v>
      </c>
      <c r="I25">
        <v>13517</v>
      </c>
      <c r="J25">
        <v>13259</v>
      </c>
      <c r="P25" s="2">
        <v>2023</v>
      </c>
      <c r="Q25">
        <f>MAX(T13:T19)</f>
        <v>710</v>
      </c>
      <c r="R25" t="str">
        <f>_xlfn.XLOOKUP(MAX(T$13:T$19),T$13:T$19,$Q$13:$Q$19)</f>
        <v>ØG</v>
      </c>
      <c r="T25" t="s">
        <v>21</v>
      </c>
      <c r="U25">
        <f t="shared" si="20"/>
        <v>724</v>
      </c>
      <c r="W25" t="str">
        <v>KAF</v>
      </c>
      <c r="X25">
        <v>957</v>
      </c>
    </row>
    <row r="26" spans="3:47" x14ac:dyDescent="0.2">
      <c r="C26">
        <v>2013</v>
      </c>
      <c r="D26">
        <v>11347</v>
      </c>
      <c r="E26">
        <v>11599</v>
      </c>
      <c r="F26">
        <v>12072</v>
      </c>
      <c r="G26" s="25">
        <v>12519</v>
      </c>
      <c r="H26">
        <v>11330</v>
      </c>
      <c r="I26">
        <v>11348</v>
      </c>
      <c r="J26">
        <v>12171</v>
      </c>
      <c r="P26" s="2">
        <v>2022</v>
      </c>
      <c r="Q26">
        <f>MAX(U13:U19)</f>
        <v>686</v>
      </c>
      <c r="R26" t="str">
        <f>_xlfn.XLOOKUP(MAX(U$13:U$19),U$13:U$19,$Q$13:$Q$19)</f>
        <v>EB</v>
      </c>
      <c r="T26" t="s">
        <v>22</v>
      </c>
      <c r="U26">
        <f t="shared" si="20"/>
        <v>957</v>
      </c>
      <c r="W26" t="str">
        <v>TOH</v>
      </c>
      <c r="X26">
        <v>955</v>
      </c>
    </row>
    <row r="27" spans="3:47" x14ac:dyDescent="0.2">
      <c r="C27">
        <v>2014</v>
      </c>
      <c r="D27">
        <v>11314</v>
      </c>
      <c r="E27">
        <v>11720</v>
      </c>
      <c r="F27" s="25">
        <v>12384</v>
      </c>
      <c r="G27">
        <v>11240</v>
      </c>
      <c r="H27">
        <v>12628</v>
      </c>
      <c r="I27">
        <v>11001</v>
      </c>
      <c r="J27">
        <v>12351</v>
      </c>
      <c r="P27" s="2">
        <v>2021</v>
      </c>
      <c r="Q27">
        <f>MAX(V13:V19)</f>
        <v>553</v>
      </c>
      <c r="R27" t="str">
        <f>_xlfn.XLOOKUP(MAX(V$13:V$19),V$13:V$19,$Q$13:$Q$19)</f>
        <v>JH</v>
      </c>
      <c r="T27" t="s">
        <v>23</v>
      </c>
      <c r="U27">
        <f t="shared" si="20"/>
        <v>996</v>
      </c>
      <c r="W27" t="str">
        <v>JH</v>
      </c>
      <c r="X27">
        <v>754</v>
      </c>
    </row>
    <row r="28" spans="3:47" x14ac:dyDescent="0.2">
      <c r="C28">
        <v>2015</v>
      </c>
      <c r="D28" s="25">
        <v>12489</v>
      </c>
      <c r="E28">
        <v>11668</v>
      </c>
      <c r="F28">
        <v>11522</v>
      </c>
      <c r="G28">
        <v>11739</v>
      </c>
      <c r="H28">
        <v>12022</v>
      </c>
      <c r="I28">
        <v>10952</v>
      </c>
      <c r="J28">
        <v>11562</v>
      </c>
      <c r="P28" s="2">
        <v>2020</v>
      </c>
      <c r="Q28">
        <f>MAX(W13:W19)</f>
        <v>754</v>
      </c>
      <c r="R28" t="str">
        <f>_xlfn.XLOOKUP(MAX(W$13:W$19),W$13:W$19,$Q$13:$Q$19)</f>
        <v>JH</v>
      </c>
      <c r="T28" t="s">
        <v>24</v>
      </c>
      <c r="U28">
        <f t="shared" si="20"/>
        <v>754</v>
      </c>
      <c r="W28" t="str">
        <v>AHH</v>
      </c>
      <c r="X28">
        <v>734</v>
      </c>
    </row>
    <row r="29" spans="3:47" x14ac:dyDescent="0.2">
      <c r="C29">
        <v>2016</v>
      </c>
      <c r="D29">
        <v>11773</v>
      </c>
      <c r="E29">
        <v>10869</v>
      </c>
      <c r="F29">
        <v>11760</v>
      </c>
      <c r="G29">
        <v>12158</v>
      </c>
      <c r="H29">
        <v>12101</v>
      </c>
      <c r="I29">
        <v>10487</v>
      </c>
      <c r="J29" s="25">
        <v>12377</v>
      </c>
      <c r="P29" s="2">
        <v>2019</v>
      </c>
      <c r="Q29">
        <f>MAX(X$13:X$19)</f>
        <v>996</v>
      </c>
      <c r="R29" t="str">
        <f>_xlfn.XLOOKUP(MAX(X$13:X$19),X$13:X$19,$Q$13:$Q$19)</f>
        <v>ØG</v>
      </c>
      <c r="T29" t="s">
        <v>25</v>
      </c>
      <c r="U29">
        <f t="shared" si="20"/>
        <v>955</v>
      </c>
      <c r="W29" t="str">
        <v>EB</v>
      </c>
      <c r="X29">
        <v>724</v>
      </c>
    </row>
    <row r="30" spans="3:47" x14ac:dyDescent="0.2">
      <c r="C30">
        <v>2017</v>
      </c>
      <c r="D30">
        <v>12227</v>
      </c>
      <c r="E30">
        <v>12061</v>
      </c>
      <c r="F30">
        <v>12487</v>
      </c>
      <c r="G30" s="25">
        <v>12830</v>
      </c>
      <c r="H30">
        <v>12740</v>
      </c>
      <c r="I30">
        <v>10748</v>
      </c>
      <c r="J30">
        <v>11908</v>
      </c>
      <c r="P30" s="2">
        <v>2018</v>
      </c>
      <c r="Q30">
        <f>MAX(Y$13:Y$19)</f>
        <v>734</v>
      </c>
      <c r="R30" t="str">
        <f>_xlfn.XLOOKUP(MAX(Y$13:Y$19),Y$13:Y$19,$Q$13:$Q$19)</f>
        <v>AHH</v>
      </c>
    </row>
    <row r="31" spans="3:47" x14ac:dyDescent="0.2">
      <c r="C31">
        <v>2018</v>
      </c>
      <c r="D31">
        <v>10286</v>
      </c>
      <c r="E31">
        <v>10789</v>
      </c>
      <c r="F31">
        <v>9751</v>
      </c>
      <c r="G31" s="25">
        <v>11475</v>
      </c>
      <c r="H31">
        <v>11390</v>
      </c>
      <c r="I31">
        <v>11051</v>
      </c>
      <c r="J31">
        <v>10222</v>
      </c>
      <c r="P31" s="2">
        <v>2017</v>
      </c>
      <c r="Q31">
        <f>MAX(Z$13:Z$19)</f>
        <v>639</v>
      </c>
      <c r="R31" t="str">
        <f>_xlfn.XLOOKUP(MAX(Z$13:Z$19),Z$13:Z$19,$Q$13:$Q$19)</f>
        <v>ØG</v>
      </c>
    </row>
    <row r="32" spans="3:47" x14ac:dyDescent="0.2">
      <c r="C32">
        <v>2019</v>
      </c>
      <c r="D32">
        <v>9254</v>
      </c>
      <c r="E32">
        <v>10232</v>
      </c>
      <c r="F32">
        <v>10198</v>
      </c>
      <c r="G32" s="25">
        <v>11281</v>
      </c>
      <c r="H32">
        <v>10358</v>
      </c>
      <c r="I32">
        <v>9690</v>
      </c>
      <c r="J32">
        <v>10613</v>
      </c>
      <c r="P32" s="2">
        <v>2016</v>
      </c>
      <c r="Q32">
        <f>MAX(AA$13:AA$19)</f>
        <v>618</v>
      </c>
      <c r="R32" t="str">
        <f>_xlfn.XLOOKUP(MAX(AA$13:AA$19),AA$13:AA$19,$Q$13:$Q$19)</f>
        <v>JH</v>
      </c>
    </row>
    <row r="33" spans="3:18" x14ac:dyDescent="0.2">
      <c r="C33">
        <v>2020</v>
      </c>
      <c r="D33">
        <v>6004</v>
      </c>
      <c r="E33">
        <v>6317</v>
      </c>
      <c r="F33" s="25">
        <v>7223</v>
      </c>
      <c r="G33">
        <v>6563</v>
      </c>
      <c r="H33">
        <v>7116</v>
      </c>
      <c r="I33">
        <v>7112</v>
      </c>
      <c r="J33">
        <v>6734</v>
      </c>
      <c r="P33" s="2">
        <v>2015</v>
      </c>
      <c r="Q33">
        <f>MAX(AB$13:AB$19)</f>
        <v>661</v>
      </c>
      <c r="R33" t="str">
        <f>_xlfn.XLOOKUP(MAX(AA$13:AA$19),AA$13:AA$19,$Q$13:$Q$19)</f>
        <v>JH</v>
      </c>
    </row>
    <row r="34" spans="3:18" x14ac:dyDescent="0.2">
      <c r="C34">
        <v>2021</v>
      </c>
      <c r="D34">
        <v>3190</v>
      </c>
      <c r="E34">
        <v>3253</v>
      </c>
      <c r="F34">
        <v>2909</v>
      </c>
      <c r="G34" s="25">
        <v>3870</v>
      </c>
      <c r="H34">
        <v>3805</v>
      </c>
      <c r="I34">
        <v>3786</v>
      </c>
      <c r="J34">
        <v>3134</v>
      </c>
      <c r="P34" s="2">
        <v>2014</v>
      </c>
      <c r="Q34">
        <f>MAX(AC$13:AC$19)</f>
        <v>644</v>
      </c>
      <c r="R34" t="str">
        <f>_xlfn.XLOOKUP(MAX(AB$13:AB$19),AB$13:AB$19,$Q$13:$Q$19)</f>
        <v>TOH</v>
      </c>
    </row>
    <row r="35" spans="3:18" x14ac:dyDescent="0.2">
      <c r="C35">
        <v>2022</v>
      </c>
      <c r="D35">
        <v>9440</v>
      </c>
      <c r="E35">
        <v>9597</v>
      </c>
      <c r="F35">
        <v>9847</v>
      </c>
      <c r="G35" s="25">
        <v>10844</v>
      </c>
      <c r="H35">
        <v>9987</v>
      </c>
      <c r="I35">
        <v>10171</v>
      </c>
      <c r="J35">
        <v>10167</v>
      </c>
      <c r="P35" s="2">
        <v>2013</v>
      </c>
      <c r="Q35">
        <f>MAX(AD$13:AD$19)</f>
        <v>637</v>
      </c>
      <c r="R35" t="str">
        <f>_xlfn.XLOOKUP(MAX(AD$13:AD$19),AD$13:AD$19,$Q$13:$Q$19)</f>
        <v>KAF</v>
      </c>
    </row>
    <row r="36" spans="3:18" x14ac:dyDescent="0.2">
      <c r="C36">
        <v>2023</v>
      </c>
      <c r="D36">
        <v>14690</v>
      </c>
      <c r="E36">
        <v>14460</v>
      </c>
      <c r="F36">
        <v>15220</v>
      </c>
      <c r="G36">
        <v>14490</v>
      </c>
      <c r="H36" s="25">
        <v>15320</v>
      </c>
      <c r="I36">
        <v>14690</v>
      </c>
      <c r="J36">
        <v>13220</v>
      </c>
      <c r="P36" s="2">
        <v>2012</v>
      </c>
      <c r="Q36">
        <f>MAX(AE$13:AE$19)</f>
        <v>651</v>
      </c>
      <c r="R36" t="str">
        <f>_xlfn.XLOOKUP(MAX(AE$13:AE$19),AE$13:AE$19,$Q$13:$Q$19)</f>
        <v>TOH</v>
      </c>
    </row>
    <row r="37" spans="3:18" x14ac:dyDescent="0.2">
      <c r="P37" s="2">
        <v>2011</v>
      </c>
      <c r="Q37">
        <f>MAX(AF$13:AF$19)</f>
        <v>609</v>
      </c>
      <c r="R37" t="str">
        <f>_xlfn.XLOOKUP(MAX(AF$13:AF$19),AF$13:AF$19,$Q$13:$Q$19)</f>
        <v>EB</v>
      </c>
    </row>
    <row r="38" spans="3:18" x14ac:dyDescent="0.2">
      <c r="P38" s="2">
        <v>2010</v>
      </c>
      <c r="Q38">
        <f>MAX(AG$13:AG$19)</f>
        <v>243</v>
      </c>
      <c r="R38" t="str">
        <f>_xlfn.XLOOKUP(MAX(AG$13:AG$19),AG$13:AG$19,$Q$13:$Q$19)</f>
        <v>ØG</v>
      </c>
    </row>
  </sheetData>
  <sheetProtection selectLockedCells="1" selectUnlockedCells="1"/>
  <sortState xmlns:xlrd2="http://schemas.microsoft.com/office/spreadsheetml/2017/richdata2" ref="AS13:AT19">
    <sortCondition descending="1" ref="AT13:AT19"/>
    <sortCondition ref="AS13:AS1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9026F2C774FD8499CC0921496811AF5" ma:contentTypeVersion="6" ma:contentTypeDescription="Opprett et nytt dokument." ma:contentTypeScope="" ma:versionID="66a2ba80bd10c52a2051bd2efd6a1240">
  <xsd:schema xmlns:xsd="http://www.w3.org/2001/XMLSchema" xmlns:xs="http://www.w3.org/2001/XMLSchema" xmlns:p="http://schemas.microsoft.com/office/2006/metadata/properties" xmlns:ns2="e6826306-a46b-458b-82a4-b5d11378cd53" xmlns:ns3="03f7cb9b-e9d0-4968-b5fe-bdd3ccebad00" targetNamespace="http://schemas.microsoft.com/office/2006/metadata/properties" ma:root="true" ma:fieldsID="f70ab253a1428aeed1a6af3760333b68" ns2:_="" ns3:_="">
    <xsd:import namespace="e6826306-a46b-458b-82a4-b5d11378cd53"/>
    <xsd:import namespace="03f7cb9b-e9d0-4968-b5fe-bdd3ccebad0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826306-a46b-458b-82a4-b5d11378cd5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t med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ingsdetaljer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7cb9b-e9d0-4968-b5fe-bdd3ccebad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B0F7D9-B94D-4B5C-8F95-D26FD2E209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59C87B-ACA7-4D63-AA2D-D98B465D06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826306-a46b-458b-82a4-b5d11378cd53"/>
    <ds:schemaRef ds:uri="03f7cb9b-e9d0-4968-b5fe-bdd3ccebad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F438A60-E89D-4716-A84F-CFEFA2F9CC9A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3EF7DFAB-3E19-4B7D-845A-A0E985AA5635}">
  <ds:schemaRefs>
    <ds:schemaRef ds:uri="http://purl.org/dc/terms/"/>
    <ds:schemaRef ds:uri="http://schemas.microsoft.com/office/2006/documentManagement/types"/>
    <ds:schemaRef ds:uri="03f7cb9b-e9d0-4968-b5fe-bdd3ccebad00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e6826306-a46b-458b-82a4-b5d11378cd5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6</vt:i4>
      </vt:variant>
      <vt:variant>
        <vt:lpstr>Navngitte områder</vt:lpstr>
      </vt:variant>
      <vt:variant>
        <vt:i4>3</vt:i4>
      </vt:variant>
    </vt:vector>
  </HeadingPairs>
  <TitlesOfParts>
    <vt:vector size="9" baseType="lpstr">
      <vt:lpstr>Heder &amp; Ære</vt:lpstr>
      <vt:lpstr>Hovedtabell</vt:lpstr>
      <vt:lpstr>Analyse</vt:lpstr>
      <vt:lpstr>Statistikk</vt:lpstr>
      <vt:lpstr>Hjelpeark</vt:lpstr>
      <vt:lpstr>Historikk</vt:lpstr>
      <vt:lpstr>Analyse!Uketapere</vt:lpstr>
      <vt:lpstr>Uketapere</vt:lpstr>
      <vt:lpstr>Ukevinnere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Alf-Henrik Håker;oafg54@outlook.com</dc:creator>
  <cp:keywords/>
  <dc:description/>
  <cp:lastModifiedBy>Øyvind Granberg</cp:lastModifiedBy>
  <cp:revision>1</cp:revision>
  <cp:lastPrinted>2026-04-23T11:34:01Z</cp:lastPrinted>
  <dcterms:created xsi:type="dcterms:W3CDTF">2022-06-02T05:21:37Z</dcterms:created>
  <dcterms:modified xsi:type="dcterms:W3CDTF">2026-06-22T12:19:37Z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0x010100C9026F2C774FD8499CC0921496811AF5</vt:lpwstr>
  </property>
</Properties>
</file>